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2b02e7ff90bc91/Documents/Power BI/Mini Project/"/>
    </mc:Choice>
  </mc:AlternateContent>
  <xr:revisionPtr revIDLastSave="529" documentId="8_{432D0D91-11F5-4F49-9491-D4034CDCAA5B}" xr6:coauthVersionLast="47" xr6:coauthVersionMax="47" xr10:uidLastSave="{BCE2E974-9081-4EEE-BA34-7470458C61AE}"/>
  <bookViews>
    <workbookView xWindow="-110" yWindow="-110" windowWidth="19420" windowHeight="10300" xr2:uid="{7B780607-40D9-49A9-80B6-B594918DAED7}"/>
  </bookViews>
  <sheets>
    <sheet name="Mini Project (UAE Refinaries)" sheetId="1" r:id="rId1"/>
    <sheet name="Price of Each Year" sheetId="10" r:id="rId2"/>
    <sheet name="Yield per year" sheetId="5" r:id="rId3"/>
    <sheet name="Top 10 Refinaries" sheetId="6" r:id="rId4"/>
    <sheet name="Year_Emirate_Oerator_Revenue_Pr" sheetId="13" r:id="rId5"/>
    <sheet name="Sheet1" sheetId="14" r:id="rId6"/>
    <sheet name="Sheet2" sheetId="15" r:id="rId7"/>
    <sheet name="Sheet3" sheetId="16" r:id="rId8"/>
    <sheet name="Employee" sheetId="8" r:id="rId9"/>
  </sheets>
  <definedNames>
    <definedName name="_xlcn.WorksheetConnection_UAErefinariesEXCEL.xlsxcost_table1" hidden="1">cost_table[]</definedName>
    <definedName name="_xlcn.WorksheetConnection_UAErefinariesEXCEL.xlsxFact_Table1" hidden="1">Fact_Table[]</definedName>
    <definedName name="_xlcn.WorksheetConnection_UAErefinariesEXCEL.xlsxTable31" hidden="1">Employee[]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FCE2AD5D-F65C-4FA6-A056-5C36A1767C68}">
      <x15:dataModel>
        <x15:modelTables>
          <x15:modelTable id="Fact_Table" name="Fact_Table" connection="WorksheetConnection_UAE refinaries EXCEL.xlsx!Fact_Table"/>
          <x15:modelTable id="cost_table" name="cost_table" connection="WorksheetConnection_UAE refinaries EXCEL.xlsx!cost_table"/>
          <x15:modelTable id="Table3" name="Table3" connection="WorksheetConnection_UAE refinaries EXCEL.xlsx!Table3"/>
        </x15:modelTables>
        <x15:modelRelationships>
          <x15:modelRelationship fromTable="Fact_Table" fromColumn="Commissioned_Year" toTable="cost_table" toColumn="Year"/>
          <x15:modelRelationship fromTable="Fact_Table" fromColumn="Employee_Category" toTable="Table3" toColumn="Employee Categor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 a="1"/>
  <c r="W2" i="1" s="1"/>
  <c r="X2" i="1" s="1"/>
  <c r="W3" i="1" a="1"/>
  <c r="W3" i="1" s="1"/>
  <c r="X3" i="1" s="1"/>
  <c r="W4" i="1" a="1"/>
  <c r="W4" i="1" s="1"/>
  <c r="X4" i="1" s="1"/>
  <c r="W5" i="1" a="1"/>
  <c r="W5" i="1" s="1"/>
  <c r="X5" i="1" s="1"/>
  <c r="W6" i="1" a="1"/>
  <c r="W6" i="1" s="1"/>
  <c r="X6" i="1" s="1"/>
  <c r="W7" i="1" a="1"/>
  <c r="W7" i="1" s="1"/>
  <c r="X7" i="1" s="1"/>
  <c r="W8" i="1" a="1"/>
  <c r="W8" i="1" s="1"/>
  <c r="X8" i="1" s="1"/>
  <c r="W9" i="1" a="1"/>
  <c r="W9" i="1" s="1"/>
  <c r="X9" i="1" s="1"/>
  <c r="W10" i="1" a="1"/>
  <c r="W10" i="1" s="1"/>
  <c r="X10" i="1" s="1"/>
  <c r="W11" i="1" a="1"/>
  <c r="W11" i="1" s="1"/>
  <c r="X11" i="1" s="1"/>
  <c r="W12" i="1" a="1"/>
  <c r="W12" i="1" s="1"/>
  <c r="X12" i="1" s="1"/>
  <c r="W13" i="1" a="1"/>
  <c r="W13" i="1" s="1"/>
  <c r="X13" i="1" s="1"/>
  <c r="W14" i="1" a="1"/>
  <c r="W14" i="1" s="1"/>
  <c r="X14" i="1" s="1"/>
  <c r="W15" i="1" a="1"/>
  <c r="W15" i="1" s="1"/>
  <c r="X15" i="1" s="1"/>
  <c r="W16" i="1" a="1"/>
  <c r="W16" i="1" s="1"/>
  <c r="X16" i="1" s="1"/>
  <c r="W17" i="1" a="1"/>
  <c r="W17" i="1" s="1"/>
  <c r="X17" i="1" s="1"/>
  <c r="W18" i="1" a="1"/>
  <c r="W18" i="1" s="1"/>
  <c r="X18" i="1" s="1"/>
  <c r="W19" i="1" a="1"/>
  <c r="W19" i="1" s="1"/>
  <c r="X19" i="1" s="1"/>
  <c r="W20" i="1" a="1"/>
  <c r="W20" i="1" s="1"/>
  <c r="X20" i="1" s="1"/>
  <c r="W21" i="1" a="1"/>
  <c r="W21" i="1" s="1"/>
  <c r="X21" i="1" s="1"/>
  <c r="W22" i="1" a="1"/>
  <c r="W22" i="1" s="1"/>
  <c r="X22" i="1" s="1"/>
  <c r="W23" i="1" a="1"/>
  <c r="W23" i="1" s="1"/>
  <c r="X23" i="1" s="1"/>
  <c r="W24" i="1" a="1"/>
  <c r="W24" i="1" s="1"/>
  <c r="X24" i="1" s="1"/>
  <c r="W25" i="1" a="1"/>
  <c r="W25" i="1" s="1"/>
  <c r="X25" i="1" s="1"/>
  <c r="W26" i="1" a="1"/>
  <c r="W26" i="1" s="1"/>
  <c r="X26" i="1" s="1"/>
  <c r="W27" i="1" a="1"/>
  <c r="W27" i="1" s="1"/>
  <c r="X27" i="1" s="1"/>
  <c r="W28" i="1" a="1"/>
  <c r="W28" i="1" s="1"/>
  <c r="X28" i="1" s="1"/>
  <c r="W29" i="1" a="1"/>
  <c r="W29" i="1" s="1"/>
  <c r="X29" i="1" s="1"/>
  <c r="W30" i="1" a="1"/>
  <c r="W30" i="1" s="1"/>
  <c r="X30" i="1" s="1"/>
  <c r="W31" i="1" a="1"/>
  <c r="W31" i="1" s="1"/>
  <c r="X31" i="1" s="1"/>
  <c r="W32" i="1" a="1"/>
  <c r="W32" i="1" s="1"/>
  <c r="X32" i="1" s="1"/>
  <c r="W33" i="1" a="1"/>
  <c r="W33" i="1" s="1"/>
  <c r="X33" i="1" s="1"/>
  <c r="W34" i="1" a="1"/>
  <c r="W34" i="1" s="1"/>
  <c r="X34" i="1" s="1"/>
  <c r="W35" i="1" a="1"/>
  <c r="W35" i="1" s="1"/>
  <c r="X35" i="1" s="1"/>
  <c r="W36" i="1" a="1"/>
  <c r="W36" i="1" s="1"/>
  <c r="X36" i="1" s="1"/>
  <c r="W37" i="1" a="1"/>
  <c r="W37" i="1" s="1"/>
  <c r="X37" i="1" s="1"/>
  <c r="W38" i="1" a="1"/>
  <c r="W38" i="1" s="1"/>
  <c r="X38" i="1" s="1"/>
  <c r="W39" i="1" a="1"/>
  <c r="W39" i="1" s="1"/>
  <c r="X39" i="1" s="1"/>
  <c r="W40" i="1" a="1"/>
  <c r="W40" i="1" s="1"/>
  <c r="X40" i="1" s="1"/>
  <c r="W41" i="1" a="1"/>
  <c r="W41" i="1" s="1"/>
  <c r="X41" i="1" s="1"/>
  <c r="W42" i="1" a="1"/>
  <c r="W42" i="1" s="1"/>
  <c r="X42" i="1" s="1"/>
  <c r="W43" i="1" a="1"/>
  <c r="W43" i="1" s="1"/>
  <c r="X43" i="1" s="1"/>
  <c r="W44" i="1" a="1"/>
  <c r="W44" i="1" s="1"/>
  <c r="X44" i="1" s="1"/>
  <c r="W45" i="1" a="1"/>
  <c r="W45" i="1" s="1"/>
  <c r="X45" i="1" s="1"/>
  <c r="W46" i="1" a="1"/>
  <c r="W46" i="1" s="1"/>
  <c r="X46" i="1" s="1"/>
  <c r="W47" i="1" a="1"/>
  <c r="W47" i="1" s="1"/>
  <c r="X47" i="1" s="1"/>
  <c r="W48" i="1" a="1"/>
  <c r="W48" i="1" s="1"/>
  <c r="X48" i="1" s="1"/>
  <c r="W49" i="1" a="1"/>
  <c r="W49" i="1" s="1"/>
  <c r="X49" i="1" s="1"/>
  <c r="W50" i="1" a="1"/>
  <c r="W50" i="1" s="1"/>
  <c r="X50" i="1" s="1"/>
  <c r="W51" i="1" a="1"/>
  <c r="W51" i="1" s="1"/>
  <c r="X51" i="1" s="1"/>
  <c r="W52" i="1" a="1"/>
  <c r="W52" i="1" s="1"/>
  <c r="X52" i="1" s="1"/>
  <c r="W53" i="1" a="1"/>
  <c r="W53" i="1" s="1"/>
  <c r="X53" i="1" s="1"/>
  <c r="W54" i="1" a="1"/>
  <c r="W54" i="1" s="1"/>
  <c r="X54" i="1" s="1"/>
  <c r="W55" i="1" a="1"/>
  <c r="W55" i="1" s="1"/>
  <c r="X55" i="1" s="1"/>
  <c r="W56" i="1" a="1"/>
  <c r="W56" i="1" s="1"/>
  <c r="X56" i="1" s="1"/>
  <c r="W57" i="1" a="1"/>
  <c r="W57" i="1" s="1"/>
  <c r="X57" i="1" s="1"/>
  <c r="W58" i="1" a="1"/>
  <c r="W58" i="1" s="1"/>
  <c r="X58" i="1" s="1"/>
  <c r="W59" i="1" a="1"/>
  <c r="W59" i="1" s="1"/>
  <c r="X59" i="1" s="1"/>
  <c r="W60" i="1" a="1"/>
  <c r="W60" i="1" s="1"/>
  <c r="X60" i="1" s="1"/>
  <c r="W61" i="1" a="1"/>
  <c r="W61" i="1" s="1"/>
  <c r="X61" i="1" s="1"/>
  <c r="W62" i="1" a="1"/>
  <c r="W62" i="1" s="1"/>
  <c r="X62" i="1" s="1"/>
  <c r="W63" i="1" a="1"/>
  <c r="W63" i="1" s="1"/>
  <c r="X63" i="1" s="1"/>
  <c r="W64" i="1" a="1"/>
  <c r="W64" i="1" s="1"/>
  <c r="X64" i="1" s="1"/>
  <c r="W65" i="1" a="1"/>
  <c r="W65" i="1" s="1"/>
  <c r="X65" i="1" s="1"/>
  <c r="W66" i="1" a="1"/>
  <c r="W66" i="1" s="1"/>
  <c r="X66" i="1" s="1"/>
  <c r="W67" i="1" a="1"/>
  <c r="W67" i="1" s="1"/>
  <c r="X67" i="1" s="1"/>
  <c r="W68" i="1" a="1"/>
  <c r="W68" i="1" s="1"/>
  <c r="X68" i="1" s="1"/>
  <c r="W69" i="1" a="1"/>
  <c r="W69" i="1" s="1"/>
  <c r="X69" i="1" s="1"/>
  <c r="W70" i="1" a="1"/>
  <c r="W70" i="1" s="1"/>
  <c r="X70" i="1" s="1"/>
  <c r="W71" i="1" a="1"/>
  <c r="W71" i="1" s="1"/>
  <c r="X71" i="1" s="1"/>
  <c r="W72" i="1" a="1"/>
  <c r="W72" i="1" s="1"/>
  <c r="X72" i="1" s="1"/>
  <c r="W73" i="1" a="1"/>
  <c r="W73" i="1" s="1"/>
  <c r="X73" i="1" s="1"/>
  <c r="W74" i="1" a="1"/>
  <c r="W74" i="1" s="1"/>
  <c r="X74" i="1" s="1"/>
  <c r="W75" i="1" a="1"/>
  <c r="W75" i="1" s="1"/>
  <c r="X75" i="1" s="1"/>
  <c r="W76" i="1" a="1"/>
  <c r="W76" i="1" s="1"/>
  <c r="X76" i="1" s="1"/>
  <c r="W77" i="1" a="1"/>
  <c r="W77" i="1" s="1"/>
  <c r="X77" i="1" s="1"/>
  <c r="W78" i="1" a="1"/>
  <c r="W78" i="1" s="1"/>
  <c r="X78" i="1" s="1"/>
  <c r="W79" i="1" a="1"/>
  <c r="W79" i="1" s="1"/>
  <c r="X79" i="1" s="1"/>
  <c r="W80" i="1" a="1"/>
  <c r="W80" i="1" s="1"/>
  <c r="X80" i="1" s="1"/>
  <c r="W81" i="1" a="1"/>
  <c r="W81" i="1" s="1"/>
  <c r="X81" i="1" s="1"/>
  <c r="W82" i="1" a="1"/>
  <c r="W82" i="1" s="1"/>
  <c r="X82" i="1" s="1"/>
  <c r="W83" i="1" a="1"/>
  <c r="W83" i="1" s="1"/>
  <c r="X83" i="1" s="1"/>
  <c r="W84" i="1" a="1"/>
  <c r="W84" i="1" s="1"/>
  <c r="X84" i="1" s="1"/>
  <c r="W85" i="1" a="1"/>
  <c r="W85" i="1" s="1"/>
  <c r="X85" i="1" s="1"/>
  <c r="W86" i="1" a="1"/>
  <c r="W86" i="1" s="1"/>
  <c r="X86" i="1" s="1"/>
  <c r="W87" i="1" a="1"/>
  <c r="W87" i="1" s="1"/>
  <c r="X87" i="1" s="1"/>
  <c r="W88" i="1" a="1"/>
  <c r="W88" i="1" s="1"/>
  <c r="X88" i="1" s="1"/>
  <c r="W89" i="1" a="1"/>
  <c r="W89" i="1" s="1"/>
  <c r="X89" i="1" s="1"/>
  <c r="W90" i="1" a="1"/>
  <c r="W90" i="1" s="1"/>
  <c r="X90" i="1" s="1"/>
  <c r="W91" i="1" a="1"/>
  <c r="W91" i="1" s="1"/>
  <c r="X91" i="1" s="1"/>
  <c r="W92" i="1" a="1"/>
  <c r="W92" i="1" s="1"/>
  <c r="X92" i="1" s="1"/>
  <c r="W93" i="1" a="1"/>
  <c r="W93" i="1" s="1"/>
  <c r="X93" i="1" s="1"/>
  <c r="W94" i="1" a="1"/>
  <c r="W94" i="1" s="1"/>
  <c r="X94" i="1" s="1"/>
  <c r="W95" i="1" a="1"/>
  <c r="W95" i="1" s="1"/>
  <c r="X95" i="1" s="1"/>
  <c r="W96" i="1" a="1"/>
  <c r="W96" i="1" s="1"/>
  <c r="X96" i="1" s="1"/>
  <c r="W97" i="1" a="1"/>
  <c r="W97" i="1" s="1"/>
  <c r="X97" i="1" s="1"/>
  <c r="W98" i="1" a="1"/>
  <c r="W98" i="1" s="1"/>
  <c r="X98" i="1" s="1"/>
  <c r="W99" i="1" a="1"/>
  <c r="W99" i="1" s="1"/>
  <c r="X99" i="1" s="1"/>
  <c r="W100" i="1" a="1"/>
  <c r="W100" i="1" s="1"/>
  <c r="X100" i="1" s="1"/>
  <c r="W101" i="1" a="1"/>
  <c r="W101" i="1" s="1"/>
  <c r="X101" i="1" s="1"/>
  <c r="W102" i="1" a="1"/>
  <c r="W102" i="1" s="1"/>
  <c r="X102" i="1" s="1"/>
  <c r="W103" i="1" a="1"/>
  <c r="W103" i="1" s="1"/>
  <c r="X103" i="1" s="1"/>
  <c r="W104" i="1" a="1"/>
  <c r="W104" i="1" s="1"/>
  <c r="X104" i="1" s="1"/>
  <c r="W105" i="1" a="1"/>
  <c r="W105" i="1" s="1"/>
  <c r="X105" i="1" s="1"/>
  <c r="W106" i="1" a="1"/>
  <c r="W106" i="1" s="1"/>
  <c r="X106" i="1" s="1"/>
  <c r="W107" i="1" a="1"/>
  <c r="W107" i="1" s="1"/>
  <c r="X107" i="1" s="1"/>
  <c r="W108" i="1" a="1"/>
  <c r="W108" i="1" s="1"/>
  <c r="X108" i="1" s="1"/>
  <c r="W109" i="1" a="1"/>
  <c r="W109" i="1" s="1"/>
  <c r="X109" i="1" s="1"/>
  <c r="W110" i="1" a="1"/>
  <c r="W110" i="1" s="1"/>
  <c r="X110" i="1" s="1"/>
  <c r="W111" i="1" a="1"/>
  <c r="W111" i="1" s="1"/>
  <c r="X111" i="1" s="1"/>
  <c r="W112" i="1" a="1"/>
  <c r="W112" i="1" s="1"/>
  <c r="X112" i="1" s="1"/>
  <c r="W113" i="1" a="1"/>
  <c r="W113" i="1" s="1"/>
  <c r="X113" i="1" s="1"/>
  <c r="W114" i="1" a="1"/>
  <c r="W114" i="1" s="1"/>
  <c r="X114" i="1" s="1"/>
  <c r="W115" i="1" a="1"/>
  <c r="W115" i="1" s="1"/>
  <c r="X115" i="1" s="1"/>
  <c r="W116" i="1" a="1"/>
  <c r="W116" i="1" s="1"/>
  <c r="X116" i="1" s="1"/>
  <c r="W117" i="1" a="1"/>
  <c r="W117" i="1" s="1"/>
  <c r="X117" i="1" s="1"/>
  <c r="W118" i="1" a="1"/>
  <c r="W118" i="1" s="1"/>
  <c r="X118" i="1" s="1"/>
  <c r="W119" i="1" a="1"/>
  <c r="W119" i="1" s="1"/>
  <c r="X119" i="1" s="1"/>
  <c r="W120" i="1" a="1"/>
  <c r="W120" i="1" s="1"/>
  <c r="X120" i="1" s="1"/>
  <c r="W121" i="1" a="1"/>
  <c r="W121" i="1" s="1"/>
  <c r="X121" i="1" s="1"/>
  <c r="W122" i="1" a="1"/>
  <c r="W122" i="1" s="1"/>
  <c r="X122" i="1" s="1"/>
  <c r="W123" i="1" a="1"/>
  <c r="W123" i="1" s="1"/>
  <c r="X123" i="1" s="1"/>
  <c r="W124" i="1" a="1"/>
  <c r="W124" i="1" s="1"/>
  <c r="X124" i="1" s="1"/>
  <c r="W125" i="1" a="1"/>
  <c r="W125" i="1" s="1"/>
  <c r="X125" i="1" s="1"/>
  <c r="W126" i="1" a="1"/>
  <c r="W126" i="1" s="1"/>
  <c r="X126" i="1" s="1"/>
  <c r="W127" i="1" a="1"/>
  <c r="W127" i="1" s="1"/>
  <c r="X127" i="1" s="1"/>
  <c r="W128" i="1" a="1"/>
  <c r="W128" i="1" s="1"/>
  <c r="X128" i="1" s="1"/>
  <c r="W129" i="1" a="1"/>
  <c r="W129" i="1" s="1"/>
  <c r="X129" i="1" s="1"/>
  <c r="W130" i="1" a="1"/>
  <c r="W130" i="1" s="1"/>
  <c r="X130" i="1" s="1"/>
  <c r="W131" i="1" a="1"/>
  <c r="W131" i="1" s="1"/>
  <c r="X131" i="1" s="1"/>
  <c r="W132" i="1" a="1"/>
  <c r="W132" i="1" s="1"/>
  <c r="X132" i="1" s="1"/>
  <c r="W133" i="1" a="1"/>
  <c r="W133" i="1" s="1"/>
  <c r="X133" i="1" s="1"/>
  <c r="W134" i="1" a="1"/>
  <c r="W134" i="1" s="1"/>
  <c r="X134" i="1" s="1"/>
  <c r="W135" i="1" a="1"/>
  <c r="W135" i="1" s="1"/>
  <c r="X135" i="1" s="1"/>
  <c r="W136" i="1" a="1"/>
  <c r="W136" i="1" s="1"/>
  <c r="X136" i="1" s="1"/>
  <c r="W137" i="1" a="1"/>
  <c r="W137" i="1" s="1"/>
  <c r="X137" i="1" s="1"/>
  <c r="W138" i="1" a="1"/>
  <c r="W138" i="1" s="1"/>
  <c r="X138" i="1" s="1"/>
  <c r="W139" i="1" a="1"/>
  <c r="W139" i="1" s="1"/>
  <c r="X139" i="1" s="1"/>
  <c r="W140" i="1" a="1"/>
  <c r="W140" i="1" s="1"/>
  <c r="X140" i="1" s="1"/>
  <c r="W141" i="1" a="1"/>
  <c r="W141" i="1" s="1"/>
  <c r="X141" i="1" s="1"/>
  <c r="W142" i="1" a="1"/>
  <c r="W142" i="1" s="1"/>
  <c r="X142" i="1" s="1"/>
  <c r="W143" i="1" a="1"/>
  <c r="W143" i="1" s="1"/>
  <c r="X143" i="1" s="1"/>
  <c r="W144" i="1" a="1"/>
  <c r="W144" i="1" s="1"/>
  <c r="X144" i="1" s="1"/>
  <c r="W145" i="1" a="1"/>
  <c r="W145" i="1" s="1"/>
  <c r="X145" i="1" s="1"/>
  <c r="W146" i="1" a="1"/>
  <c r="W146" i="1" s="1"/>
  <c r="X146" i="1" s="1"/>
  <c r="W147" i="1" a="1"/>
  <c r="W147" i="1" s="1"/>
  <c r="X147" i="1" s="1"/>
  <c r="W148" i="1" a="1"/>
  <c r="W148" i="1" s="1"/>
  <c r="X148" i="1" s="1"/>
  <c r="W149" i="1" a="1"/>
  <c r="W149" i="1" s="1"/>
  <c r="X149" i="1" s="1"/>
  <c r="W150" i="1" a="1"/>
  <c r="W150" i="1" s="1"/>
  <c r="X150" i="1" s="1"/>
  <c r="W151" i="1" a="1"/>
  <c r="W151" i="1" s="1"/>
  <c r="X151" i="1" s="1"/>
  <c r="W152" i="1" a="1"/>
  <c r="W152" i="1" s="1"/>
  <c r="X152" i="1" s="1"/>
  <c r="W153" i="1" a="1"/>
  <c r="W153" i="1" s="1"/>
  <c r="X153" i="1" s="1"/>
  <c r="W154" i="1" a="1"/>
  <c r="W154" i="1" s="1"/>
  <c r="X154" i="1" s="1"/>
  <c r="W155" i="1" a="1"/>
  <c r="W155" i="1" s="1"/>
  <c r="X155" i="1" s="1"/>
  <c r="W156" i="1" a="1"/>
  <c r="W156" i="1" s="1"/>
  <c r="X156" i="1" s="1"/>
  <c r="W157" i="1" a="1"/>
  <c r="W157" i="1" s="1"/>
  <c r="X157" i="1" s="1"/>
  <c r="W158" i="1" a="1"/>
  <c r="W158" i="1" s="1"/>
  <c r="X158" i="1" s="1"/>
  <c r="W159" i="1" a="1"/>
  <c r="W159" i="1" s="1"/>
  <c r="X159" i="1" s="1"/>
  <c r="W160" i="1" a="1"/>
  <c r="W160" i="1" s="1"/>
  <c r="X160" i="1" s="1"/>
  <c r="W161" i="1" a="1"/>
  <c r="W161" i="1" s="1"/>
  <c r="X161" i="1" s="1"/>
  <c r="W162" i="1" a="1"/>
  <c r="W162" i="1" s="1"/>
  <c r="X162" i="1" s="1"/>
  <c r="W163" i="1" a="1"/>
  <c r="W163" i="1" s="1"/>
  <c r="X163" i="1" s="1"/>
  <c r="W164" i="1" a="1"/>
  <c r="W164" i="1" s="1"/>
  <c r="X164" i="1" s="1"/>
  <c r="W165" i="1" a="1"/>
  <c r="W165" i="1" s="1"/>
  <c r="X165" i="1" s="1"/>
  <c r="W166" i="1" a="1"/>
  <c r="W166" i="1" s="1"/>
  <c r="X166" i="1" s="1"/>
  <c r="W167" i="1" a="1"/>
  <c r="W167" i="1" s="1"/>
  <c r="X167" i="1" s="1"/>
  <c r="W168" i="1" a="1"/>
  <c r="W168" i="1" s="1"/>
  <c r="X168" i="1" s="1"/>
  <c r="W169" i="1" a="1"/>
  <c r="W169" i="1" s="1"/>
  <c r="X169" i="1" s="1"/>
  <c r="W170" i="1" a="1"/>
  <c r="W170" i="1" s="1"/>
  <c r="X170" i="1" s="1"/>
  <c r="W171" i="1" a="1"/>
  <c r="W171" i="1" s="1"/>
  <c r="X171" i="1" s="1"/>
  <c r="W172" i="1" a="1"/>
  <c r="W172" i="1" s="1"/>
  <c r="X172" i="1" s="1"/>
  <c r="W173" i="1" a="1"/>
  <c r="W173" i="1" s="1"/>
  <c r="X173" i="1" s="1"/>
  <c r="W174" i="1" a="1"/>
  <c r="W174" i="1" s="1"/>
  <c r="X174" i="1" s="1"/>
  <c r="W175" i="1" a="1"/>
  <c r="W175" i="1" s="1"/>
  <c r="X175" i="1" s="1"/>
  <c r="W176" i="1" a="1"/>
  <c r="W176" i="1" s="1"/>
  <c r="X176" i="1" s="1"/>
  <c r="W177" i="1" a="1"/>
  <c r="W177" i="1" s="1"/>
  <c r="X177" i="1" s="1"/>
  <c r="W178" i="1" a="1"/>
  <c r="W178" i="1" s="1"/>
  <c r="X178" i="1" s="1"/>
  <c r="W179" i="1" a="1"/>
  <c r="W179" i="1" s="1"/>
  <c r="X179" i="1" s="1"/>
  <c r="W180" i="1" a="1"/>
  <c r="W180" i="1" s="1"/>
  <c r="X180" i="1" s="1"/>
  <c r="W181" i="1" a="1"/>
  <c r="W181" i="1" s="1"/>
  <c r="X181" i="1" s="1"/>
  <c r="W182" i="1" a="1"/>
  <c r="W182" i="1" s="1"/>
  <c r="X182" i="1" s="1"/>
  <c r="W183" i="1" a="1"/>
  <c r="W183" i="1" s="1"/>
  <c r="X183" i="1" s="1"/>
  <c r="W184" i="1" a="1"/>
  <c r="W184" i="1" s="1"/>
  <c r="X184" i="1" s="1"/>
  <c r="W185" i="1" a="1"/>
  <c r="W185" i="1" s="1"/>
  <c r="X185" i="1" s="1"/>
  <c r="W186" i="1" a="1"/>
  <c r="W186" i="1" s="1"/>
  <c r="X186" i="1" s="1"/>
  <c r="W187" i="1" a="1"/>
  <c r="W187" i="1" s="1"/>
  <c r="X187" i="1" s="1"/>
  <c r="W188" i="1" a="1"/>
  <c r="W188" i="1" s="1"/>
  <c r="X188" i="1" s="1"/>
  <c r="W189" i="1" a="1"/>
  <c r="W189" i="1" s="1"/>
  <c r="X189" i="1" s="1"/>
  <c r="W190" i="1" a="1"/>
  <c r="W190" i="1" s="1"/>
  <c r="X190" i="1" s="1"/>
  <c r="W191" i="1" a="1"/>
  <c r="W191" i="1" s="1"/>
  <c r="X191" i="1" s="1"/>
  <c r="W192" i="1" a="1"/>
  <c r="W192" i="1" s="1"/>
  <c r="X192" i="1" s="1"/>
  <c r="W193" i="1" a="1"/>
  <c r="W193" i="1" s="1"/>
  <c r="X193" i="1" s="1"/>
  <c r="W194" i="1" a="1"/>
  <c r="W194" i="1" s="1"/>
  <c r="X194" i="1" s="1"/>
  <c r="W195" i="1" a="1"/>
  <c r="W195" i="1" s="1"/>
  <c r="X195" i="1" s="1"/>
  <c r="W196" i="1" a="1"/>
  <c r="W196" i="1" s="1"/>
  <c r="X196" i="1" s="1"/>
  <c r="W197" i="1" a="1"/>
  <c r="W197" i="1" s="1"/>
  <c r="X197" i="1" s="1"/>
  <c r="W198" i="1" a="1"/>
  <c r="W198" i="1" s="1"/>
  <c r="X198" i="1" s="1"/>
  <c r="W199" i="1" a="1"/>
  <c r="W199" i="1" s="1"/>
  <c r="X199" i="1" s="1"/>
  <c r="W200" i="1" a="1"/>
  <c r="W200" i="1" s="1"/>
  <c r="X200" i="1" s="1"/>
  <c r="W201" i="1" a="1"/>
  <c r="W201" i="1" s="1"/>
  <c r="X201" i="1" s="1"/>
  <c r="W202" i="1" a="1"/>
  <c r="W202" i="1" s="1"/>
  <c r="X202" i="1" s="1"/>
  <c r="W203" i="1" a="1"/>
  <c r="W203" i="1" s="1"/>
  <c r="X203" i="1" s="1"/>
  <c r="W204" i="1" a="1"/>
  <c r="W204" i="1" s="1"/>
  <c r="X204" i="1" s="1"/>
  <c r="W205" i="1" a="1"/>
  <c r="W205" i="1" s="1"/>
  <c r="X205" i="1" s="1"/>
  <c r="W206" i="1" a="1"/>
  <c r="W206" i="1" s="1"/>
  <c r="X206" i="1" s="1"/>
  <c r="W207" i="1" a="1"/>
  <c r="W207" i="1" s="1"/>
  <c r="X207" i="1" s="1"/>
  <c r="W208" i="1" a="1"/>
  <c r="W208" i="1" s="1"/>
  <c r="X208" i="1" s="1"/>
  <c r="W209" i="1" a="1"/>
  <c r="W209" i="1" s="1"/>
  <c r="X209" i="1" s="1"/>
  <c r="W210" i="1" a="1"/>
  <c r="W210" i="1" s="1"/>
  <c r="X210" i="1" s="1"/>
  <c r="W211" i="1" a="1"/>
  <c r="W211" i="1" s="1"/>
  <c r="X211" i="1" s="1"/>
  <c r="W212" i="1" a="1"/>
  <c r="W212" i="1" s="1"/>
  <c r="X212" i="1" s="1"/>
  <c r="W213" i="1" a="1"/>
  <c r="W213" i="1" s="1"/>
  <c r="X213" i="1" s="1"/>
  <c r="W214" i="1" a="1"/>
  <c r="W214" i="1" s="1"/>
  <c r="X214" i="1" s="1"/>
  <c r="W215" i="1" a="1"/>
  <c r="W215" i="1" s="1"/>
  <c r="X215" i="1" s="1"/>
  <c r="W216" i="1" a="1"/>
  <c r="W216" i="1" s="1"/>
  <c r="X216" i="1" s="1"/>
  <c r="W217" i="1" a="1"/>
  <c r="W217" i="1" s="1"/>
  <c r="X217" i="1" s="1"/>
  <c r="W218" i="1" a="1"/>
  <c r="W218" i="1" s="1"/>
  <c r="X218" i="1" s="1"/>
  <c r="W219" i="1" a="1"/>
  <c r="W219" i="1" s="1"/>
  <c r="X219" i="1" s="1"/>
  <c r="W220" i="1" a="1"/>
  <c r="W220" i="1" s="1"/>
  <c r="X220" i="1" s="1"/>
  <c r="W221" i="1" a="1"/>
  <c r="W221" i="1" s="1"/>
  <c r="X221" i="1" s="1"/>
  <c r="W222" i="1" a="1"/>
  <c r="W222" i="1" s="1"/>
  <c r="X222" i="1" s="1"/>
  <c r="W223" i="1" a="1"/>
  <c r="W223" i="1" s="1"/>
  <c r="X223" i="1" s="1"/>
  <c r="W224" i="1" a="1"/>
  <c r="W224" i="1" s="1"/>
  <c r="X224" i="1" s="1"/>
  <c r="W225" i="1" a="1"/>
  <c r="W225" i="1" s="1"/>
  <c r="X225" i="1" s="1"/>
  <c r="W226" i="1" a="1"/>
  <c r="W226" i="1" s="1"/>
  <c r="X226" i="1" s="1"/>
  <c r="W227" i="1" a="1"/>
  <c r="W227" i="1" s="1"/>
  <c r="X227" i="1" s="1"/>
  <c r="W228" i="1" a="1"/>
  <c r="W228" i="1" s="1"/>
  <c r="X228" i="1" s="1"/>
  <c r="W229" i="1" a="1"/>
  <c r="W229" i="1" s="1"/>
  <c r="X229" i="1" s="1"/>
  <c r="W230" i="1" a="1"/>
  <c r="W230" i="1" s="1"/>
  <c r="X230" i="1" s="1"/>
  <c r="W231" i="1" a="1"/>
  <c r="W231" i="1" s="1"/>
  <c r="X231" i="1" s="1"/>
  <c r="W232" i="1" a="1"/>
  <c r="W232" i="1" s="1"/>
  <c r="X232" i="1" s="1"/>
  <c r="W233" i="1" a="1"/>
  <c r="W233" i="1" s="1"/>
  <c r="X233" i="1" s="1"/>
  <c r="W234" i="1" a="1"/>
  <c r="W234" i="1" s="1"/>
  <c r="X234" i="1" s="1"/>
  <c r="W235" i="1" a="1"/>
  <c r="W235" i="1" s="1"/>
  <c r="X235" i="1" s="1"/>
  <c r="W236" i="1" a="1"/>
  <c r="W236" i="1" s="1"/>
  <c r="X236" i="1" s="1"/>
  <c r="W237" i="1" a="1"/>
  <c r="W237" i="1" s="1"/>
  <c r="X237" i="1" s="1"/>
  <c r="W238" i="1" a="1"/>
  <c r="W238" i="1" s="1"/>
  <c r="X238" i="1" s="1"/>
  <c r="W239" i="1" a="1"/>
  <c r="W239" i="1" s="1"/>
  <c r="X239" i="1" s="1"/>
  <c r="W240" i="1" a="1"/>
  <c r="W240" i="1" s="1"/>
  <c r="X240" i="1" s="1"/>
  <c r="W241" i="1" a="1"/>
  <c r="W241" i="1" s="1"/>
  <c r="X241" i="1" s="1"/>
  <c r="W242" i="1" a="1"/>
  <c r="W242" i="1" s="1"/>
  <c r="X242" i="1" s="1"/>
  <c r="W243" i="1" a="1"/>
  <c r="W243" i="1" s="1"/>
  <c r="X243" i="1" s="1"/>
  <c r="W244" i="1" a="1"/>
  <c r="W244" i="1" s="1"/>
  <c r="X244" i="1" s="1"/>
  <c r="W245" i="1" a="1"/>
  <c r="W245" i="1" s="1"/>
  <c r="X245" i="1" s="1"/>
  <c r="W246" i="1" a="1"/>
  <c r="W246" i="1" s="1"/>
  <c r="X246" i="1" s="1"/>
  <c r="W247" i="1" a="1"/>
  <c r="W247" i="1" s="1"/>
  <c r="X247" i="1" s="1"/>
  <c r="W248" i="1" a="1"/>
  <c r="W248" i="1" s="1"/>
  <c r="X248" i="1" s="1"/>
  <c r="W249" i="1" a="1"/>
  <c r="W249" i="1" s="1"/>
  <c r="X249" i="1" s="1"/>
  <c r="W250" i="1" a="1"/>
  <c r="W250" i="1" s="1"/>
  <c r="X250" i="1" s="1"/>
  <c r="W251" i="1" a="1"/>
  <c r="W251" i="1" s="1"/>
  <c r="X251" i="1" s="1"/>
  <c r="W252" i="1" a="1"/>
  <c r="W252" i="1" s="1"/>
  <c r="X252" i="1" s="1"/>
  <c r="W253" i="1" a="1"/>
  <c r="W253" i="1" s="1"/>
  <c r="X253" i="1" s="1"/>
  <c r="W254" i="1" a="1"/>
  <c r="W254" i="1" s="1"/>
  <c r="X254" i="1" s="1"/>
  <c r="W255" i="1" a="1"/>
  <c r="W255" i="1" s="1"/>
  <c r="X255" i="1" s="1"/>
  <c r="W256" i="1" a="1"/>
  <c r="W256" i="1" s="1"/>
  <c r="X256" i="1" s="1"/>
  <c r="W257" i="1" a="1"/>
  <c r="W257" i="1" s="1"/>
  <c r="X257" i="1" s="1"/>
  <c r="W258" i="1" a="1"/>
  <c r="W258" i="1" s="1"/>
  <c r="X258" i="1" s="1"/>
  <c r="W259" i="1" a="1"/>
  <c r="W259" i="1" s="1"/>
  <c r="X259" i="1" s="1"/>
  <c r="W260" i="1" a="1"/>
  <c r="W260" i="1" s="1"/>
  <c r="X260" i="1" s="1"/>
  <c r="W261" i="1" a="1"/>
  <c r="W261" i="1" s="1"/>
  <c r="X261" i="1" s="1"/>
  <c r="W262" i="1" a="1"/>
  <c r="W262" i="1" s="1"/>
  <c r="X262" i="1" s="1"/>
  <c r="W263" i="1" a="1"/>
  <c r="W263" i="1" s="1"/>
  <c r="X263" i="1" s="1"/>
  <c r="W264" i="1" a="1"/>
  <c r="W264" i="1" s="1"/>
  <c r="X264" i="1" s="1"/>
  <c r="W265" i="1" a="1"/>
  <c r="W265" i="1" s="1"/>
  <c r="X265" i="1" s="1"/>
  <c r="W266" i="1" a="1"/>
  <c r="W266" i="1" s="1"/>
  <c r="X266" i="1" s="1"/>
  <c r="W267" i="1" a="1"/>
  <c r="W267" i="1" s="1"/>
  <c r="X267" i="1" s="1"/>
  <c r="W268" i="1" a="1"/>
  <c r="W268" i="1" s="1"/>
  <c r="X268" i="1" s="1"/>
  <c r="W269" i="1" a="1"/>
  <c r="W269" i="1" s="1"/>
  <c r="X269" i="1" s="1"/>
  <c r="W270" i="1" a="1"/>
  <c r="W270" i="1" s="1"/>
  <c r="X270" i="1" s="1"/>
  <c r="W271" i="1" a="1"/>
  <c r="W271" i="1" s="1"/>
  <c r="X271" i="1" s="1"/>
  <c r="W272" i="1" a="1"/>
  <c r="W272" i="1" s="1"/>
  <c r="X272" i="1" s="1"/>
  <c r="W273" i="1" a="1"/>
  <c r="W273" i="1" s="1"/>
  <c r="X273" i="1" s="1"/>
  <c r="W274" i="1" a="1"/>
  <c r="W274" i="1" s="1"/>
  <c r="X274" i="1" s="1"/>
  <c r="W275" i="1" a="1"/>
  <c r="W275" i="1" s="1"/>
  <c r="X275" i="1" s="1"/>
  <c r="W276" i="1" a="1"/>
  <c r="W276" i="1" s="1"/>
  <c r="X276" i="1" s="1"/>
  <c r="W277" i="1" a="1"/>
  <c r="W277" i="1" s="1"/>
  <c r="X277" i="1" s="1"/>
  <c r="W278" i="1" a="1"/>
  <c r="W278" i="1" s="1"/>
  <c r="X278" i="1" s="1"/>
  <c r="W279" i="1" a="1"/>
  <c r="W279" i="1" s="1"/>
  <c r="X279" i="1" s="1"/>
  <c r="W280" i="1" a="1"/>
  <c r="W280" i="1" s="1"/>
  <c r="X280" i="1" s="1"/>
  <c r="W281" i="1" a="1"/>
  <c r="W281" i="1" s="1"/>
  <c r="X281" i="1" s="1"/>
  <c r="W282" i="1" a="1"/>
  <c r="W282" i="1" s="1"/>
  <c r="X282" i="1" s="1"/>
  <c r="W283" i="1" a="1"/>
  <c r="W283" i="1" s="1"/>
  <c r="X283" i="1" s="1"/>
  <c r="W284" i="1" a="1"/>
  <c r="W284" i="1" s="1"/>
  <c r="X284" i="1" s="1"/>
  <c r="W285" i="1" a="1"/>
  <c r="W285" i="1" s="1"/>
  <c r="X285" i="1" s="1"/>
  <c r="W286" i="1" a="1"/>
  <c r="W286" i="1" s="1"/>
  <c r="X286" i="1" s="1"/>
  <c r="W287" i="1" a="1"/>
  <c r="W287" i="1" s="1"/>
  <c r="X287" i="1" s="1"/>
  <c r="W288" i="1" a="1"/>
  <c r="W288" i="1" s="1"/>
  <c r="X288" i="1" s="1"/>
  <c r="W289" i="1" a="1"/>
  <c r="W289" i="1" s="1"/>
  <c r="X289" i="1" s="1"/>
  <c r="W290" i="1" a="1"/>
  <c r="W290" i="1" s="1"/>
  <c r="X290" i="1" s="1"/>
  <c r="W291" i="1" a="1"/>
  <c r="W291" i="1" s="1"/>
  <c r="X291" i="1" s="1"/>
  <c r="W292" i="1" a="1"/>
  <c r="W292" i="1" s="1"/>
  <c r="X292" i="1" s="1"/>
  <c r="W293" i="1" a="1"/>
  <c r="W293" i="1" s="1"/>
  <c r="X293" i="1" s="1"/>
  <c r="W294" i="1" a="1"/>
  <c r="W294" i="1" s="1"/>
  <c r="X294" i="1" s="1"/>
  <c r="W295" i="1" a="1"/>
  <c r="W295" i="1" s="1"/>
  <c r="X295" i="1" s="1"/>
  <c r="W296" i="1" a="1"/>
  <c r="W296" i="1" s="1"/>
  <c r="X296" i="1" s="1"/>
  <c r="W297" i="1" a="1"/>
  <c r="W297" i="1" s="1"/>
  <c r="X297" i="1" s="1"/>
  <c r="W298" i="1" a="1"/>
  <c r="W298" i="1" s="1"/>
  <c r="X298" i="1" s="1"/>
  <c r="W299" i="1" a="1"/>
  <c r="W299" i="1" s="1"/>
  <c r="X299" i="1" s="1"/>
  <c r="W300" i="1" a="1"/>
  <c r="W300" i="1" s="1"/>
  <c r="X300" i="1" s="1"/>
  <c r="W301" i="1" a="1"/>
  <c r="W301" i="1" s="1"/>
  <c r="X301" i="1" s="1"/>
  <c r="W302" i="1" a="1"/>
  <c r="W302" i="1" s="1"/>
  <c r="X302" i="1" s="1"/>
  <c r="W303" i="1" a="1"/>
  <c r="W303" i="1" s="1"/>
  <c r="X303" i="1" s="1"/>
  <c r="W304" i="1" a="1"/>
  <c r="W304" i="1" s="1"/>
  <c r="X304" i="1" s="1"/>
  <c r="W305" i="1" a="1"/>
  <c r="W305" i="1" s="1"/>
  <c r="X305" i="1" s="1"/>
  <c r="W306" i="1" a="1"/>
  <c r="W306" i="1" s="1"/>
  <c r="X306" i="1" s="1"/>
  <c r="W307" i="1" a="1"/>
  <c r="W307" i="1" s="1"/>
  <c r="X307" i="1" s="1"/>
  <c r="W308" i="1" a="1"/>
  <c r="W308" i="1" s="1"/>
  <c r="X308" i="1" s="1"/>
  <c r="W309" i="1" a="1"/>
  <c r="W309" i="1" s="1"/>
  <c r="X309" i="1" s="1"/>
  <c r="W310" i="1" a="1"/>
  <c r="W310" i="1" s="1"/>
  <c r="X310" i="1" s="1"/>
  <c r="W311" i="1" a="1"/>
  <c r="W311" i="1" s="1"/>
  <c r="X311" i="1" s="1"/>
  <c r="W312" i="1" a="1"/>
  <c r="W312" i="1" s="1"/>
  <c r="X312" i="1" s="1"/>
  <c r="W313" i="1" a="1"/>
  <c r="W313" i="1" s="1"/>
  <c r="X313" i="1" s="1"/>
  <c r="W314" i="1" a="1"/>
  <c r="W314" i="1" s="1"/>
  <c r="X314" i="1" s="1"/>
  <c r="W315" i="1" a="1"/>
  <c r="W315" i="1" s="1"/>
  <c r="X315" i="1" s="1"/>
  <c r="W316" i="1" a="1"/>
  <c r="W316" i="1" s="1"/>
  <c r="X316" i="1" s="1"/>
  <c r="W317" i="1" a="1"/>
  <c r="W317" i="1" s="1"/>
  <c r="X317" i="1" s="1"/>
  <c r="W318" i="1" a="1"/>
  <c r="W318" i="1" s="1"/>
  <c r="X318" i="1" s="1"/>
  <c r="W319" i="1" a="1"/>
  <c r="W319" i="1" s="1"/>
  <c r="X319" i="1" s="1"/>
  <c r="W320" i="1" a="1"/>
  <c r="W320" i="1" s="1"/>
  <c r="X320" i="1" s="1"/>
  <c r="W321" i="1" a="1"/>
  <c r="W321" i="1" s="1"/>
  <c r="X321" i="1" s="1"/>
  <c r="W322" i="1" a="1"/>
  <c r="W322" i="1" s="1"/>
  <c r="X322" i="1" s="1"/>
  <c r="W323" i="1" a="1"/>
  <c r="W323" i="1" s="1"/>
  <c r="X323" i="1" s="1"/>
  <c r="W324" i="1" a="1"/>
  <c r="W324" i="1" s="1"/>
  <c r="X324" i="1" s="1"/>
  <c r="W325" i="1" a="1"/>
  <c r="W325" i="1" s="1"/>
  <c r="X325" i="1" s="1"/>
  <c r="W326" i="1" a="1"/>
  <c r="W326" i="1" s="1"/>
  <c r="X326" i="1" s="1"/>
  <c r="W327" i="1" a="1"/>
  <c r="W327" i="1" s="1"/>
  <c r="X327" i="1" s="1"/>
  <c r="W328" i="1" a="1"/>
  <c r="W328" i="1" s="1"/>
  <c r="X328" i="1" s="1"/>
  <c r="W329" i="1" a="1"/>
  <c r="W329" i="1" s="1"/>
  <c r="X329" i="1" s="1"/>
  <c r="W330" i="1" a="1"/>
  <c r="W330" i="1" s="1"/>
  <c r="X330" i="1" s="1"/>
  <c r="W331" i="1" a="1"/>
  <c r="W331" i="1" s="1"/>
  <c r="X331" i="1" s="1"/>
  <c r="W332" i="1" a="1"/>
  <c r="W332" i="1" s="1"/>
  <c r="X332" i="1" s="1"/>
  <c r="W333" i="1" a="1"/>
  <c r="W333" i="1" s="1"/>
  <c r="X333" i="1" s="1"/>
  <c r="W334" i="1" a="1"/>
  <c r="W334" i="1" s="1"/>
  <c r="X334" i="1" s="1"/>
  <c r="W335" i="1" a="1"/>
  <c r="W335" i="1" s="1"/>
  <c r="X335" i="1" s="1"/>
  <c r="W336" i="1" a="1"/>
  <c r="W336" i="1" s="1"/>
  <c r="X336" i="1" s="1"/>
  <c r="W337" i="1" a="1"/>
  <c r="W337" i="1" s="1"/>
  <c r="X337" i="1" s="1"/>
  <c r="W338" i="1" a="1"/>
  <c r="W338" i="1" s="1"/>
  <c r="X338" i="1" s="1"/>
  <c r="W339" i="1" a="1"/>
  <c r="W339" i="1" s="1"/>
  <c r="X339" i="1" s="1"/>
  <c r="W340" i="1" a="1"/>
  <c r="W340" i="1" s="1"/>
  <c r="X340" i="1" s="1"/>
  <c r="W341" i="1" a="1"/>
  <c r="W341" i="1" s="1"/>
  <c r="X341" i="1" s="1"/>
  <c r="W342" i="1" a="1"/>
  <c r="W342" i="1" s="1"/>
  <c r="X342" i="1" s="1"/>
  <c r="W343" i="1" a="1"/>
  <c r="W343" i="1" s="1"/>
  <c r="X343" i="1" s="1"/>
  <c r="W344" i="1" a="1"/>
  <c r="W344" i="1" s="1"/>
  <c r="X344" i="1" s="1"/>
  <c r="W345" i="1" a="1"/>
  <c r="W345" i="1" s="1"/>
  <c r="X345" i="1" s="1"/>
  <c r="W346" i="1" a="1"/>
  <c r="W346" i="1" s="1"/>
  <c r="X346" i="1" s="1"/>
  <c r="W347" i="1" a="1"/>
  <c r="W347" i="1" s="1"/>
  <c r="X347" i="1" s="1"/>
  <c r="W348" i="1" a="1"/>
  <c r="W348" i="1" s="1"/>
  <c r="X348" i="1" s="1"/>
  <c r="W349" i="1" a="1"/>
  <c r="W349" i="1" s="1"/>
  <c r="X349" i="1" s="1"/>
  <c r="W350" i="1" a="1"/>
  <c r="W350" i="1" s="1"/>
  <c r="X350" i="1" s="1"/>
  <c r="W351" i="1" a="1"/>
  <c r="W351" i="1" s="1"/>
  <c r="X351" i="1" s="1"/>
  <c r="W352" i="1" a="1"/>
  <c r="W352" i="1" s="1"/>
  <c r="X352" i="1" s="1"/>
  <c r="W353" i="1" a="1"/>
  <c r="W353" i="1" s="1"/>
  <c r="X353" i="1" s="1"/>
  <c r="W354" i="1" a="1"/>
  <c r="W354" i="1" s="1"/>
  <c r="X354" i="1" s="1"/>
  <c r="W355" i="1" a="1"/>
  <c r="W355" i="1" s="1"/>
  <c r="X355" i="1" s="1"/>
  <c r="W356" i="1" a="1"/>
  <c r="W356" i="1" s="1"/>
  <c r="X356" i="1" s="1"/>
  <c r="W357" i="1" a="1"/>
  <c r="W357" i="1" s="1"/>
  <c r="X357" i="1" s="1"/>
  <c r="W358" i="1" a="1"/>
  <c r="W358" i="1" s="1"/>
  <c r="X358" i="1" s="1"/>
  <c r="W359" i="1" a="1"/>
  <c r="W359" i="1" s="1"/>
  <c r="X359" i="1" s="1"/>
  <c r="W360" i="1" a="1"/>
  <c r="W360" i="1" s="1"/>
  <c r="X360" i="1" s="1"/>
  <c r="W361" i="1" a="1"/>
  <c r="W361" i="1" s="1"/>
  <c r="X361" i="1" s="1"/>
  <c r="W362" i="1" a="1"/>
  <c r="W362" i="1" s="1"/>
  <c r="X362" i="1" s="1"/>
  <c r="W363" i="1" a="1"/>
  <c r="W363" i="1" s="1"/>
  <c r="X363" i="1" s="1"/>
  <c r="W364" i="1" a="1"/>
  <c r="W364" i="1" s="1"/>
  <c r="X364" i="1" s="1"/>
  <c r="W365" i="1" a="1"/>
  <c r="W365" i="1" s="1"/>
  <c r="X365" i="1" s="1"/>
  <c r="W366" i="1" a="1"/>
  <c r="W366" i="1" s="1"/>
  <c r="X366" i="1" s="1"/>
  <c r="W367" i="1" a="1"/>
  <c r="W367" i="1" s="1"/>
  <c r="X367" i="1" s="1"/>
  <c r="W368" i="1" a="1"/>
  <c r="W368" i="1" s="1"/>
  <c r="X368" i="1" s="1"/>
  <c r="W369" i="1" a="1"/>
  <c r="W369" i="1" s="1"/>
  <c r="X369" i="1" s="1"/>
  <c r="W370" i="1" a="1"/>
  <c r="W370" i="1" s="1"/>
  <c r="X370" i="1" s="1"/>
  <c r="W371" i="1" a="1"/>
  <c r="W371" i="1" s="1"/>
  <c r="X371" i="1" s="1"/>
  <c r="W372" i="1" a="1"/>
  <c r="W372" i="1" s="1"/>
  <c r="X372" i="1" s="1"/>
  <c r="W373" i="1" a="1"/>
  <c r="W373" i="1" s="1"/>
  <c r="X373" i="1" s="1"/>
  <c r="W374" i="1" a="1"/>
  <c r="W374" i="1" s="1"/>
  <c r="X374" i="1" s="1"/>
  <c r="W375" i="1" a="1"/>
  <c r="W375" i="1" s="1"/>
  <c r="X375" i="1" s="1"/>
  <c r="W376" i="1" a="1"/>
  <c r="W376" i="1" s="1"/>
  <c r="X376" i="1" s="1"/>
  <c r="W377" i="1" a="1"/>
  <c r="W377" i="1" s="1"/>
  <c r="X377" i="1" s="1"/>
  <c r="W378" i="1" a="1"/>
  <c r="W378" i="1" s="1"/>
  <c r="X378" i="1" s="1"/>
  <c r="W379" i="1" a="1"/>
  <c r="W379" i="1" s="1"/>
  <c r="X379" i="1" s="1"/>
  <c r="W380" i="1" a="1"/>
  <c r="W380" i="1" s="1"/>
  <c r="X380" i="1" s="1"/>
  <c r="W381" i="1" a="1"/>
  <c r="W381" i="1" s="1"/>
  <c r="X381" i="1" s="1"/>
  <c r="W382" i="1" a="1"/>
  <c r="W382" i="1" s="1"/>
  <c r="X382" i="1" s="1"/>
  <c r="W383" i="1" a="1"/>
  <c r="W383" i="1" s="1"/>
  <c r="X383" i="1" s="1"/>
  <c r="W384" i="1" a="1"/>
  <c r="W384" i="1" s="1"/>
  <c r="X384" i="1" s="1"/>
  <c r="W385" i="1" a="1"/>
  <c r="W385" i="1" s="1"/>
  <c r="X385" i="1" s="1"/>
  <c r="W386" i="1" a="1"/>
  <c r="W386" i="1" s="1"/>
  <c r="X386" i="1" s="1"/>
  <c r="W387" i="1" a="1"/>
  <c r="W387" i="1" s="1"/>
  <c r="X387" i="1" s="1"/>
  <c r="W388" i="1" a="1"/>
  <c r="W388" i="1" s="1"/>
  <c r="X388" i="1" s="1"/>
  <c r="W389" i="1" a="1"/>
  <c r="W389" i="1" s="1"/>
  <c r="X389" i="1" s="1"/>
  <c r="W390" i="1" a="1"/>
  <c r="W390" i="1" s="1"/>
  <c r="X390" i="1" s="1"/>
  <c r="W391" i="1" a="1"/>
  <c r="W391" i="1" s="1"/>
  <c r="X391" i="1" s="1"/>
  <c r="W392" i="1" a="1"/>
  <c r="W392" i="1" s="1"/>
  <c r="X392" i="1" s="1"/>
  <c r="W393" i="1" a="1"/>
  <c r="W393" i="1" s="1"/>
  <c r="X393" i="1" s="1"/>
  <c r="W394" i="1" a="1"/>
  <c r="W394" i="1" s="1"/>
  <c r="X394" i="1" s="1"/>
  <c r="W395" i="1" a="1"/>
  <c r="W395" i="1" s="1"/>
  <c r="X395" i="1" s="1"/>
  <c r="W396" i="1" a="1"/>
  <c r="W396" i="1" s="1"/>
  <c r="X396" i="1" s="1"/>
  <c r="W397" i="1" a="1"/>
  <c r="W397" i="1" s="1"/>
  <c r="X397" i="1" s="1"/>
  <c r="W398" i="1" a="1"/>
  <c r="W398" i="1" s="1"/>
  <c r="X398" i="1" s="1"/>
  <c r="W399" i="1" a="1"/>
  <c r="W399" i="1" s="1"/>
  <c r="X399" i="1" s="1"/>
  <c r="W400" i="1" a="1"/>
  <c r="W400" i="1" s="1"/>
  <c r="X400" i="1" s="1"/>
  <c r="W401" i="1" a="1"/>
  <c r="W401" i="1" s="1"/>
  <c r="X401" i="1" s="1"/>
  <c r="W402" i="1" a="1"/>
  <c r="W402" i="1" s="1"/>
  <c r="X402" i="1" s="1"/>
  <c r="W403" i="1" a="1"/>
  <c r="W403" i="1" s="1"/>
  <c r="X403" i="1" s="1"/>
  <c r="W404" i="1" a="1"/>
  <c r="W404" i="1" s="1"/>
  <c r="X404" i="1" s="1"/>
  <c r="W405" i="1" a="1"/>
  <c r="W405" i="1" s="1"/>
  <c r="X405" i="1" s="1"/>
  <c r="W406" i="1" a="1"/>
  <c r="W406" i="1" s="1"/>
  <c r="X406" i="1" s="1"/>
  <c r="W407" i="1" a="1"/>
  <c r="W407" i="1" s="1"/>
  <c r="X407" i="1" s="1"/>
  <c r="W408" i="1" a="1"/>
  <c r="W408" i="1" s="1"/>
  <c r="X408" i="1" s="1"/>
  <c r="W409" i="1" a="1"/>
  <c r="W409" i="1" s="1"/>
  <c r="X409" i="1" s="1"/>
  <c r="W410" i="1" a="1"/>
  <c r="W410" i="1" s="1"/>
  <c r="X410" i="1" s="1"/>
  <c r="W411" i="1" a="1"/>
  <c r="W411" i="1" s="1"/>
  <c r="X411" i="1" s="1"/>
  <c r="W412" i="1" a="1"/>
  <c r="W412" i="1" s="1"/>
  <c r="X412" i="1" s="1"/>
  <c r="W413" i="1" a="1"/>
  <c r="W413" i="1" s="1"/>
  <c r="X413" i="1" s="1"/>
  <c r="W414" i="1" a="1"/>
  <c r="W414" i="1" s="1"/>
  <c r="X414" i="1" s="1"/>
  <c r="W415" i="1" a="1"/>
  <c r="W415" i="1" s="1"/>
  <c r="X415" i="1" s="1"/>
  <c r="W416" i="1" a="1"/>
  <c r="W416" i="1" s="1"/>
  <c r="X416" i="1" s="1"/>
  <c r="W417" i="1" a="1"/>
  <c r="W417" i="1" s="1"/>
  <c r="X417" i="1" s="1"/>
  <c r="W418" i="1" a="1"/>
  <c r="W418" i="1" s="1"/>
  <c r="X418" i="1" s="1"/>
  <c r="W419" i="1" a="1"/>
  <c r="W419" i="1" s="1"/>
  <c r="X419" i="1" s="1"/>
  <c r="W420" i="1" a="1"/>
  <c r="W420" i="1" s="1"/>
  <c r="X420" i="1" s="1"/>
  <c r="W421" i="1" a="1"/>
  <c r="W421" i="1" s="1"/>
  <c r="X421" i="1" s="1"/>
  <c r="W422" i="1" a="1"/>
  <c r="W422" i="1" s="1"/>
  <c r="X422" i="1" s="1"/>
  <c r="W423" i="1" a="1"/>
  <c r="W423" i="1" s="1"/>
  <c r="X423" i="1" s="1"/>
  <c r="W424" i="1" a="1"/>
  <c r="W424" i="1" s="1"/>
  <c r="X424" i="1" s="1"/>
  <c r="W425" i="1" a="1"/>
  <c r="W425" i="1" s="1"/>
  <c r="X425" i="1" s="1"/>
  <c r="W426" i="1" a="1"/>
  <c r="W426" i="1" s="1"/>
  <c r="X426" i="1" s="1"/>
  <c r="W427" i="1" a="1"/>
  <c r="W427" i="1" s="1"/>
  <c r="X427" i="1" s="1"/>
  <c r="W428" i="1" a="1"/>
  <c r="W428" i="1" s="1"/>
  <c r="X428" i="1" s="1"/>
  <c r="W429" i="1" a="1"/>
  <c r="W429" i="1" s="1"/>
  <c r="X429" i="1" s="1"/>
  <c r="W430" i="1" a="1"/>
  <c r="W430" i="1" s="1"/>
  <c r="X430" i="1" s="1"/>
  <c r="W431" i="1" a="1"/>
  <c r="W431" i="1" s="1"/>
  <c r="X431" i="1" s="1"/>
  <c r="W432" i="1" a="1"/>
  <c r="W432" i="1" s="1"/>
  <c r="X432" i="1" s="1"/>
  <c r="W433" i="1" a="1"/>
  <c r="W433" i="1" s="1"/>
  <c r="X433" i="1" s="1"/>
  <c r="W434" i="1" a="1"/>
  <c r="W434" i="1" s="1"/>
  <c r="X434" i="1" s="1"/>
  <c r="W435" i="1" a="1"/>
  <c r="W435" i="1" s="1"/>
  <c r="X435" i="1" s="1"/>
  <c r="W436" i="1" a="1"/>
  <c r="W436" i="1" s="1"/>
  <c r="X436" i="1" s="1"/>
  <c r="W437" i="1" a="1"/>
  <c r="W437" i="1" s="1"/>
  <c r="X437" i="1" s="1"/>
  <c r="W438" i="1" a="1"/>
  <c r="W438" i="1" s="1"/>
  <c r="X438" i="1" s="1"/>
  <c r="W439" i="1" a="1"/>
  <c r="W439" i="1" s="1"/>
  <c r="X439" i="1" s="1"/>
  <c r="W440" i="1" a="1"/>
  <c r="W440" i="1" s="1"/>
  <c r="X440" i="1" s="1"/>
  <c r="W441" i="1" a="1"/>
  <c r="W441" i="1" s="1"/>
  <c r="X441" i="1" s="1"/>
  <c r="W442" i="1" a="1"/>
  <c r="W442" i="1" s="1"/>
  <c r="X442" i="1" s="1"/>
  <c r="W443" i="1" a="1"/>
  <c r="W443" i="1" s="1"/>
  <c r="X443" i="1" s="1"/>
  <c r="W444" i="1" a="1"/>
  <c r="W444" i="1" s="1"/>
  <c r="X444" i="1" s="1"/>
  <c r="W445" i="1" a="1"/>
  <c r="W445" i="1" s="1"/>
  <c r="X445" i="1" s="1"/>
  <c r="W446" i="1" a="1"/>
  <c r="W446" i="1" s="1"/>
  <c r="X446" i="1" s="1"/>
  <c r="W447" i="1" a="1"/>
  <c r="W447" i="1" s="1"/>
  <c r="X447" i="1" s="1"/>
  <c r="W448" i="1" a="1"/>
  <c r="W448" i="1" s="1"/>
  <c r="X448" i="1" s="1"/>
  <c r="W449" i="1" a="1"/>
  <c r="W449" i="1" s="1"/>
  <c r="X449" i="1" s="1"/>
  <c r="W450" i="1" a="1"/>
  <c r="W450" i="1" s="1"/>
  <c r="X450" i="1" s="1"/>
  <c r="W451" i="1" a="1"/>
  <c r="W451" i="1" s="1"/>
  <c r="X451" i="1" s="1"/>
  <c r="W452" i="1" a="1"/>
  <c r="W452" i="1" s="1"/>
  <c r="X452" i="1" s="1"/>
  <c r="W453" i="1" a="1"/>
  <c r="W453" i="1" s="1"/>
  <c r="X453" i="1" s="1"/>
  <c r="W454" i="1" a="1"/>
  <c r="W454" i="1" s="1"/>
  <c r="X454" i="1" s="1"/>
  <c r="W455" i="1" a="1"/>
  <c r="W455" i="1" s="1"/>
  <c r="X455" i="1" s="1"/>
  <c r="W456" i="1" a="1"/>
  <c r="W456" i="1" s="1"/>
  <c r="X456" i="1" s="1"/>
  <c r="W457" i="1" a="1"/>
  <c r="W457" i="1" s="1"/>
  <c r="X457" i="1" s="1"/>
  <c r="W458" i="1" a="1"/>
  <c r="W458" i="1" s="1"/>
  <c r="X458" i="1" s="1"/>
  <c r="W459" i="1" a="1"/>
  <c r="W459" i="1" s="1"/>
  <c r="X459" i="1" s="1"/>
  <c r="W460" i="1" a="1"/>
  <c r="W460" i="1" s="1"/>
  <c r="X460" i="1" s="1"/>
  <c r="W461" i="1" a="1"/>
  <c r="W461" i="1" s="1"/>
  <c r="X461" i="1" s="1"/>
  <c r="W462" i="1" a="1"/>
  <c r="W462" i="1" s="1"/>
  <c r="X462" i="1" s="1"/>
  <c r="W463" i="1" a="1"/>
  <c r="W463" i="1" s="1"/>
  <c r="X463" i="1" s="1"/>
  <c r="W464" i="1" a="1"/>
  <c r="W464" i="1" s="1"/>
  <c r="X464" i="1" s="1"/>
  <c r="W465" i="1" a="1"/>
  <c r="W465" i="1" s="1"/>
  <c r="X465" i="1" s="1"/>
  <c r="W466" i="1" a="1"/>
  <c r="W466" i="1" s="1"/>
  <c r="X466" i="1" s="1"/>
  <c r="W467" i="1" a="1"/>
  <c r="W467" i="1" s="1"/>
  <c r="X467" i="1" s="1"/>
  <c r="W468" i="1" a="1"/>
  <c r="W468" i="1" s="1"/>
  <c r="X468" i="1" s="1"/>
  <c r="W469" i="1" a="1"/>
  <c r="W469" i="1" s="1"/>
  <c r="X469" i="1" s="1"/>
  <c r="W470" i="1" a="1"/>
  <c r="W470" i="1" s="1"/>
  <c r="X470" i="1" s="1"/>
  <c r="W471" i="1" a="1"/>
  <c r="W471" i="1" s="1"/>
  <c r="X471" i="1" s="1"/>
  <c r="W472" i="1" a="1"/>
  <c r="W472" i="1" s="1"/>
  <c r="X472" i="1" s="1"/>
  <c r="W473" i="1" a="1"/>
  <c r="W473" i="1" s="1"/>
  <c r="X473" i="1" s="1"/>
  <c r="W474" i="1" a="1"/>
  <c r="W474" i="1" s="1"/>
  <c r="X474" i="1" s="1"/>
  <c r="W475" i="1" a="1"/>
  <c r="W475" i="1" s="1"/>
  <c r="X475" i="1" s="1"/>
  <c r="W476" i="1" a="1"/>
  <c r="W476" i="1" s="1"/>
  <c r="X476" i="1" s="1"/>
  <c r="W477" i="1" a="1"/>
  <c r="W477" i="1" s="1"/>
  <c r="X477" i="1" s="1"/>
  <c r="W478" i="1" a="1"/>
  <c r="W478" i="1" s="1"/>
  <c r="X478" i="1" s="1"/>
  <c r="W479" i="1" a="1"/>
  <c r="W479" i="1" s="1"/>
  <c r="X479" i="1" s="1"/>
  <c r="W480" i="1" a="1"/>
  <c r="W480" i="1" s="1"/>
  <c r="X480" i="1" s="1"/>
  <c r="W481" i="1" a="1"/>
  <c r="W481" i="1" s="1"/>
  <c r="X481" i="1" s="1"/>
  <c r="W482" i="1" a="1"/>
  <c r="W482" i="1" s="1"/>
  <c r="X482" i="1" s="1"/>
  <c r="W483" i="1" a="1"/>
  <c r="W483" i="1" s="1"/>
  <c r="X483" i="1" s="1"/>
  <c r="W484" i="1" a="1"/>
  <c r="W484" i="1" s="1"/>
  <c r="X484" i="1" s="1"/>
  <c r="W485" i="1" a="1"/>
  <c r="W485" i="1" s="1"/>
  <c r="X485" i="1" s="1"/>
  <c r="W486" i="1" a="1"/>
  <c r="W486" i="1" s="1"/>
  <c r="X486" i="1" s="1"/>
  <c r="W487" i="1" a="1"/>
  <c r="W487" i="1" s="1"/>
  <c r="X487" i="1" s="1"/>
  <c r="W488" i="1" a="1"/>
  <c r="W488" i="1" s="1"/>
  <c r="X488" i="1" s="1"/>
  <c r="W489" i="1" a="1"/>
  <c r="W489" i="1" s="1"/>
  <c r="X489" i="1" s="1"/>
  <c r="W490" i="1" a="1"/>
  <c r="W490" i="1" s="1"/>
  <c r="X490" i="1" s="1"/>
  <c r="W491" i="1" a="1"/>
  <c r="W491" i="1" s="1"/>
  <c r="X491" i="1" s="1"/>
  <c r="W492" i="1" a="1"/>
  <c r="W492" i="1" s="1"/>
  <c r="X492" i="1" s="1"/>
  <c r="W493" i="1" a="1"/>
  <c r="W493" i="1" s="1"/>
  <c r="X493" i="1" s="1"/>
  <c r="W494" i="1" a="1"/>
  <c r="W494" i="1" s="1"/>
  <c r="X494" i="1" s="1"/>
  <c r="W495" i="1" a="1"/>
  <c r="W495" i="1" s="1"/>
  <c r="X495" i="1" s="1"/>
  <c r="W496" i="1" a="1"/>
  <c r="W496" i="1" s="1"/>
  <c r="X496" i="1" s="1"/>
  <c r="W497" i="1" a="1"/>
  <c r="W497" i="1" s="1"/>
  <c r="X497" i="1" s="1"/>
  <c r="W498" i="1" a="1"/>
  <c r="W498" i="1" s="1"/>
  <c r="X498" i="1" s="1"/>
  <c r="W499" i="1" a="1"/>
  <c r="W499" i="1" s="1"/>
  <c r="X499" i="1" s="1"/>
  <c r="W500" i="1" a="1"/>
  <c r="W500" i="1" s="1"/>
  <c r="X500" i="1" s="1"/>
  <c r="W501" i="1" a="1"/>
  <c r="W501" i="1" s="1"/>
  <c r="X501" i="1" s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E505" i="1" a="1"/>
  <c r="E505" i="1" s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O2" i="1"/>
  <c r="P2" i="1" s="1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P209" i="1" s="1"/>
  <c r="O210" i="1"/>
  <c r="P210" i="1" s="1"/>
  <c r="O211" i="1"/>
  <c r="P211" i="1" s="1"/>
  <c r="O212" i="1"/>
  <c r="P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P221" i="1" s="1"/>
  <c r="O222" i="1"/>
  <c r="P222" i="1" s="1"/>
  <c r="O223" i="1"/>
  <c r="P223" i="1" s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P236" i="1" s="1"/>
  <c r="O237" i="1"/>
  <c r="P237" i="1" s="1"/>
  <c r="O238" i="1"/>
  <c r="P238" i="1" s="1"/>
  <c r="O239" i="1"/>
  <c r="P239" i="1" s="1"/>
  <c r="O240" i="1"/>
  <c r="P240" i="1" s="1"/>
  <c r="O241" i="1"/>
  <c r="P241" i="1" s="1"/>
  <c r="O242" i="1"/>
  <c r="P242" i="1" s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P251" i="1" s="1"/>
  <c r="O252" i="1"/>
  <c r="P252" i="1" s="1"/>
  <c r="O253" i="1"/>
  <c r="P253" i="1" s="1"/>
  <c r="O254" i="1"/>
  <c r="P254" i="1" s="1"/>
  <c r="O255" i="1"/>
  <c r="P255" i="1" s="1"/>
  <c r="O256" i="1"/>
  <c r="P256" i="1" s="1"/>
  <c r="O257" i="1"/>
  <c r="P257" i="1" s="1"/>
  <c r="O258" i="1"/>
  <c r="P258" i="1" s="1"/>
  <c r="O259" i="1"/>
  <c r="P259" i="1" s="1"/>
  <c r="O260" i="1"/>
  <c r="P260" i="1" s="1"/>
  <c r="O261" i="1"/>
  <c r="P261" i="1" s="1"/>
  <c r="O262" i="1"/>
  <c r="P262" i="1" s="1"/>
  <c r="O263" i="1"/>
  <c r="P263" i="1" s="1"/>
  <c r="O264" i="1"/>
  <c r="P264" i="1" s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P271" i="1" s="1"/>
  <c r="O272" i="1"/>
  <c r="P272" i="1" s="1"/>
  <c r="O273" i="1"/>
  <c r="P273" i="1" s="1"/>
  <c r="O274" i="1"/>
  <c r="P274" i="1" s="1"/>
  <c r="O275" i="1"/>
  <c r="P275" i="1" s="1"/>
  <c r="O276" i="1"/>
  <c r="P276" i="1" s="1"/>
  <c r="O277" i="1"/>
  <c r="P277" i="1" s="1"/>
  <c r="O278" i="1"/>
  <c r="P278" i="1" s="1"/>
  <c r="O279" i="1"/>
  <c r="P279" i="1" s="1"/>
  <c r="O280" i="1"/>
  <c r="P280" i="1" s="1"/>
  <c r="O281" i="1"/>
  <c r="P281" i="1" s="1"/>
  <c r="O282" i="1"/>
  <c r="P282" i="1" s="1"/>
  <c r="O283" i="1"/>
  <c r="P283" i="1" s="1"/>
  <c r="O284" i="1"/>
  <c r="P284" i="1" s="1"/>
  <c r="O285" i="1"/>
  <c r="P285" i="1" s="1"/>
  <c r="O286" i="1"/>
  <c r="P286" i="1" s="1"/>
  <c r="O287" i="1"/>
  <c r="P287" i="1" s="1"/>
  <c r="O288" i="1"/>
  <c r="P288" i="1" s="1"/>
  <c r="O289" i="1"/>
  <c r="P289" i="1" s="1"/>
  <c r="O290" i="1"/>
  <c r="P290" i="1" s="1"/>
  <c r="O291" i="1"/>
  <c r="P291" i="1" s="1"/>
  <c r="O292" i="1"/>
  <c r="P292" i="1" s="1"/>
  <c r="O293" i="1"/>
  <c r="P293" i="1" s="1"/>
  <c r="O294" i="1"/>
  <c r="P294" i="1" s="1"/>
  <c r="O295" i="1"/>
  <c r="P295" i="1" s="1"/>
  <c r="O296" i="1"/>
  <c r="P296" i="1" s="1"/>
  <c r="O297" i="1"/>
  <c r="P297" i="1" s="1"/>
  <c r="O298" i="1"/>
  <c r="P298" i="1" s="1"/>
  <c r="O299" i="1"/>
  <c r="P299" i="1" s="1"/>
  <c r="O300" i="1"/>
  <c r="P300" i="1" s="1"/>
  <c r="O301" i="1"/>
  <c r="P301" i="1" s="1"/>
  <c r="O302" i="1"/>
  <c r="P302" i="1" s="1"/>
  <c r="O303" i="1"/>
  <c r="P303" i="1" s="1"/>
  <c r="O304" i="1"/>
  <c r="P304" i="1" s="1"/>
  <c r="O305" i="1"/>
  <c r="P305" i="1" s="1"/>
  <c r="O306" i="1"/>
  <c r="P306" i="1" s="1"/>
  <c r="O307" i="1"/>
  <c r="P307" i="1" s="1"/>
  <c r="O308" i="1"/>
  <c r="P308" i="1" s="1"/>
  <c r="O309" i="1"/>
  <c r="P309" i="1" s="1"/>
  <c r="O310" i="1"/>
  <c r="P310" i="1" s="1"/>
  <c r="O311" i="1"/>
  <c r="P311" i="1" s="1"/>
  <c r="O312" i="1"/>
  <c r="P312" i="1" s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P319" i="1" s="1"/>
  <c r="O320" i="1"/>
  <c r="P320" i="1" s="1"/>
  <c r="O321" i="1"/>
  <c r="P321" i="1" s="1"/>
  <c r="O322" i="1"/>
  <c r="P322" i="1" s="1"/>
  <c r="O323" i="1"/>
  <c r="P323" i="1" s="1"/>
  <c r="O324" i="1"/>
  <c r="P324" i="1" s="1"/>
  <c r="O325" i="1"/>
  <c r="P325" i="1" s="1"/>
  <c r="O326" i="1"/>
  <c r="P326" i="1" s="1"/>
  <c r="O327" i="1"/>
  <c r="P327" i="1" s="1"/>
  <c r="O328" i="1"/>
  <c r="P328" i="1" s="1"/>
  <c r="O329" i="1"/>
  <c r="P329" i="1" s="1"/>
  <c r="O330" i="1"/>
  <c r="P330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P336" i="1" s="1"/>
  <c r="O337" i="1"/>
  <c r="P337" i="1" s="1"/>
  <c r="O338" i="1"/>
  <c r="P338" i="1" s="1"/>
  <c r="O339" i="1"/>
  <c r="P339" i="1" s="1"/>
  <c r="O340" i="1"/>
  <c r="P340" i="1" s="1"/>
  <c r="O341" i="1"/>
  <c r="P341" i="1" s="1"/>
  <c r="O342" i="1"/>
  <c r="P342" i="1" s="1"/>
  <c r="O343" i="1"/>
  <c r="P343" i="1" s="1"/>
  <c r="O344" i="1"/>
  <c r="P344" i="1" s="1"/>
  <c r="O345" i="1"/>
  <c r="P345" i="1" s="1"/>
  <c r="O346" i="1"/>
  <c r="P346" i="1" s="1"/>
  <c r="O347" i="1"/>
  <c r="P347" i="1" s="1"/>
  <c r="O348" i="1"/>
  <c r="P348" i="1" s="1"/>
  <c r="O349" i="1"/>
  <c r="P349" i="1" s="1"/>
  <c r="O350" i="1"/>
  <c r="P350" i="1" s="1"/>
  <c r="O351" i="1"/>
  <c r="P351" i="1" s="1"/>
  <c r="O352" i="1"/>
  <c r="P352" i="1" s="1"/>
  <c r="O353" i="1"/>
  <c r="P353" i="1" s="1"/>
  <c r="O354" i="1"/>
  <c r="P354" i="1" s="1"/>
  <c r="O355" i="1"/>
  <c r="P355" i="1" s="1"/>
  <c r="O356" i="1"/>
  <c r="P356" i="1" s="1"/>
  <c r="O357" i="1"/>
  <c r="P357" i="1" s="1"/>
  <c r="O358" i="1"/>
  <c r="P358" i="1" s="1"/>
  <c r="O359" i="1"/>
  <c r="P359" i="1" s="1"/>
  <c r="O360" i="1"/>
  <c r="P360" i="1" s="1"/>
  <c r="O361" i="1"/>
  <c r="P361" i="1" s="1"/>
  <c r="O362" i="1"/>
  <c r="P362" i="1" s="1"/>
  <c r="O363" i="1"/>
  <c r="P363" i="1" s="1"/>
  <c r="O364" i="1"/>
  <c r="P364" i="1" s="1"/>
  <c r="O365" i="1"/>
  <c r="P365" i="1" s="1"/>
  <c r="O366" i="1"/>
  <c r="P366" i="1" s="1"/>
  <c r="O367" i="1"/>
  <c r="P367" i="1" s="1"/>
  <c r="O368" i="1"/>
  <c r="P368" i="1" s="1"/>
  <c r="O369" i="1"/>
  <c r="P369" i="1" s="1"/>
  <c r="O370" i="1"/>
  <c r="P370" i="1" s="1"/>
  <c r="O371" i="1"/>
  <c r="P371" i="1" s="1"/>
  <c r="O372" i="1"/>
  <c r="P372" i="1" s="1"/>
  <c r="O373" i="1"/>
  <c r="P373" i="1" s="1"/>
  <c r="O374" i="1"/>
  <c r="P374" i="1" s="1"/>
  <c r="O375" i="1"/>
  <c r="P375" i="1" s="1"/>
  <c r="O376" i="1"/>
  <c r="P376" i="1" s="1"/>
  <c r="O377" i="1"/>
  <c r="P377" i="1" s="1"/>
  <c r="O378" i="1"/>
  <c r="P378" i="1" s="1"/>
  <c r="O379" i="1"/>
  <c r="P379" i="1" s="1"/>
  <c r="O380" i="1"/>
  <c r="P380" i="1" s="1"/>
  <c r="O381" i="1"/>
  <c r="P381" i="1" s="1"/>
  <c r="O382" i="1"/>
  <c r="P382" i="1" s="1"/>
  <c r="O383" i="1"/>
  <c r="P383" i="1" s="1"/>
  <c r="O384" i="1"/>
  <c r="P384" i="1" s="1"/>
  <c r="O385" i="1"/>
  <c r="P385" i="1" s="1"/>
  <c r="O386" i="1"/>
  <c r="P386" i="1" s="1"/>
  <c r="O387" i="1"/>
  <c r="P387" i="1" s="1"/>
  <c r="O388" i="1"/>
  <c r="P388" i="1" s="1"/>
  <c r="O389" i="1"/>
  <c r="P389" i="1" s="1"/>
  <c r="O390" i="1"/>
  <c r="P390" i="1" s="1"/>
  <c r="O391" i="1"/>
  <c r="P391" i="1" s="1"/>
  <c r="O392" i="1"/>
  <c r="P392" i="1" s="1"/>
  <c r="O393" i="1"/>
  <c r="P393" i="1" s="1"/>
  <c r="O394" i="1"/>
  <c r="P394" i="1" s="1"/>
  <c r="O395" i="1"/>
  <c r="P395" i="1" s="1"/>
  <c r="O396" i="1"/>
  <c r="P396" i="1" s="1"/>
  <c r="O397" i="1"/>
  <c r="P397" i="1" s="1"/>
  <c r="O398" i="1"/>
  <c r="P398" i="1" s="1"/>
  <c r="O399" i="1"/>
  <c r="P399" i="1" s="1"/>
  <c r="O400" i="1"/>
  <c r="P400" i="1" s="1"/>
  <c r="O401" i="1"/>
  <c r="P401" i="1" s="1"/>
  <c r="O402" i="1"/>
  <c r="P402" i="1" s="1"/>
  <c r="O403" i="1"/>
  <c r="P403" i="1" s="1"/>
  <c r="O404" i="1"/>
  <c r="P404" i="1" s="1"/>
  <c r="O405" i="1"/>
  <c r="P405" i="1" s="1"/>
  <c r="O406" i="1"/>
  <c r="P406" i="1" s="1"/>
  <c r="O407" i="1"/>
  <c r="P407" i="1" s="1"/>
  <c r="O408" i="1"/>
  <c r="P408" i="1" s="1"/>
  <c r="O409" i="1"/>
  <c r="P409" i="1" s="1"/>
  <c r="O410" i="1"/>
  <c r="P410" i="1" s="1"/>
  <c r="O411" i="1"/>
  <c r="P411" i="1" s="1"/>
  <c r="O412" i="1"/>
  <c r="P412" i="1" s="1"/>
  <c r="O413" i="1"/>
  <c r="P413" i="1" s="1"/>
  <c r="O414" i="1"/>
  <c r="P414" i="1" s="1"/>
  <c r="O415" i="1"/>
  <c r="P415" i="1" s="1"/>
  <c r="O416" i="1"/>
  <c r="P416" i="1" s="1"/>
  <c r="O417" i="1"/>
  <c r="P417" i="1" s="1"/>
  <c r="O418" i="1"/>
  <c r="P418" i="1" s="1"/>
  <c r="O419" i="1"/>
  <c r="P419" i="1" s="1"/>
  <c r="O420" i="1"/>
  <c r="P420" i="1" s="1"/>
  <c r="O421" i="1"/>
  <c r="P421" i="1" s="1"/>
  <c r="O422" i="1"/>
  <c r="P422" i="1" s="1"/>
  <c r="O423" i="1"/>
  <c r="P423" i="1" s="1"/>
  <c r="O424" i="1"/>
  <c r="P424" i="1" s="1"/>
  <c r="O425" i="1"/>
  <c r="P425" i="1" s="1"/>
  <c r="O426" i="1"/>
  <c r="P426" i="1" s="1"/>
  <c r="O427" i="1"/>
  <c r="P427" i="1" s="1"/>
  <c r="O428" i="1"/>
  <c r="P428" i="1" s="1"/>
  <c r="O429" i="1"/>
  <c r="P429" i="1" s="1"/>
  <c r="O430" i="1"/>
  <c r="P430" i="1" s="1"/>
  <c r="O431" i="1"/>
  <c r="P431" i="1" s="1"/>
  <c r="O432" i="1"/>
  <c r="P432" i="1" s="1"/>
  <c r="O433" i="1"/>
  <c r="P433" i="1" s="1"/>
  <c r="O434" i="1"/>
  <c r="P434" i="1" s="1"/>
  <c r="O435" i="1"/>
  <c r="P435" i="1" s="1"/>
  <c r="O436" i="1"/>
  <c r="P436" i="1" s="1"/>
  <c r="O437" i="1"/>
  <c r="P437" i="1" s="1"/>
  <c r="O438" i="1"/>
  <c r="P438" i="1" s="1"/>
  <c r="O439" i="1"/>
  <c r="P439" i="1" s="1"/>
  <c r="O440" i="1"/>
  <c r="P440" i="1" s="1"/>
  <c r="O441" i="1"/>
  <c r="P441" i="1" s="1"/>
  <c r="O442" i="1"/>
  <c r="P442" i="1" s="1"/>
  <c r="O443" i="1"/>
  <c r="P443" i="1" s="1"/>
  <c r="O444" i="1"/>
  <c r="P444" i="1" s="1"/>
  <c r="O445" i="1"/>
  <c r="P445" i="1" s="1"/>
  <c r="O446" i="1"/>
  <c r="P446" i="1" s="1"/>
  <c r="O447" i="1"/>
  <c r="P447" i="1" s="1"/>
  <c r="O448" i="1"/>
  <c r="P448" i="1" s="1"/>
  <c r="O449" i="1"/>
  <c r="P449" i="1" s="1"/>
  <c r="O450" i="1"/>
  <c r="P450" i="1" s="1"/>
  <c r="O451" i="1"/>
  <c r="P451" i="1" s="1"/>
  <c r="O452" i="1"/>
  <c r="P452" i="1" s="1"/>
  <c r="O453" i="1"/>
  <c r="P453" i="1" s="1"/>
  <c r="O454" i="1"/>
  <c r="P454" i="1" s="1"/>
  <c r="O455" i="1"/>
  <c r="P455" i="1" s="1"/>
  <c r="O456" i="1"/>
  <c r="P456" i="1" s="1"/>
  <c r="O457" i="1"/>
  <c r="P457" i="1" s="1"/>
  <c r="O458" i="1"/>
  <c r="P458" i="1" s="1"/>
  <c r="O459" i="1"/>
  <c r="P459" i="1" s="1"/>
  <c r="O460" i="1"/>
  <c r="P460" i="1" s="1"/>
  <c r="O461" i="1"/>
  <c r="P461" i="1" s="1"/>
  <c r="O462" i="1"/>
  <c r="P462" i="1" s="1"/>
  <c r="O463" i="1"/>
  <c r="P463" i="1" s="1"/>
  <c r="O464" i="1"/>
  <c r="P464" i="1" s="1"/>
  <c r="O465" i="1"/>
  <c r="P465" i="1" s="1"/>
  <c r="O466" i="1"/>
  <c r="P466" i="1" s="1"/>
  <c r="O467" i="1"/>
  <c r="P467" i="1" s="1"/>
  <c r="O468" i="1"/>
  <c r="P468" i="1" s="1"/>
  <c r="O469" i="1"/>
  <c r="P469" i="1" s="1"/>
  <c r="O470" i="1"/>
  <c r="P470" i="1" s="1"/>
  <c r="O471" i="1"/>
  <c r="P471" i="1" s="1"/>
  <c r="O472" i="1"/>
  <c r="P472" i="1" s="1"/>
  <c r="O473" i="1"/>
  <c r="P473" i="1" s="1"/>
  <c r="O474" i="1"/>
  <c r="P474" i="1" s="1"/>
  <c r="O475" i="1"/>
  <c r="P475" i="1" s="1"/>
  <c r="O476" i="1"/>
  <c r="P476" i="1" s="1"/>
  <c r="O477" i="1"/>
  <c r="P477" i="1" s="1"/>
  <c r="O478" i="1"/>
  <c r="P478" i="1" s="1"/>
  <c r="O479" i="1"/>
  <c r="P479" i="1" s="1"/>
  <c r="O480" i="1"/>
  <c r="P480" i="1" s="1"/>
  <c r="O481" i="1"/>
  <c r="P481" i="1" s="1"/>
  <c r="O482" i="1"/>
  <c r="P482" i="1" s="1"/>
  <c r="O483" i="1"/>
  <c r="P483" i="1" s="1"/>
  <c r="O484" i="1"/>
  <c r="P484" i="1" s="1"/>
  <c r="O485" i="1"/>
  <c r="P485" i="1" s="1"/>
  <c r="O486" i="1"/>
  <c r="P486" i="1" s="1"/>
  <c r="O487" i="1"/>
  <c r="P487" i="1" s="1"/>
  <c r="O488" i="1"/>
  <c r="P488" i="1" s="1"/>
  <c r="O489" i="1"/>
  <c r="P489" i="1" s="1"/>
  <c r="O490" i="1"/>
  <c r="P490" i="1" s="1"/>
  <c r="O491" i="1"/>
  <c r="P491" i="1" s="1"/>
  <c r="O492" i="1"/>
  <c r="P492" i="1" s="1"/>
  <c r="O493" i="1"/>
  <c r="P493" i="1" s="1"/>
  <c r="O494" i="1"/>
  <c r="P494" i="1" s="1"/>
  <c r="O495" i="1"/>
  <c r="P495" i="1" s="1"/>
  <c r="O496" i="1"/>
  <c r="P496" i="1" s="1"/>
  <c r="O497" i="1"/>
  <c r="P497" i="1" s="1"/>
  <c r="O498" i="1"/>
  <c r="P498" i="1" s="1"/>
  <c r="O499" i="1"/>
  <c r="P499" i="1" s="1"/>
  <c r="O500" i="1"/>
  <c r="P500" i="1" s="1"/>
  <c r="O501" i="1"/>
  <c r="P50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FA0751-511C-4167-91EE-31995E0C3FC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FF2C69D-20DB-4986-9E2E-B91E4AB526EE}" name="WorksheetConnection_UAE refinaries EXCEL.xlsx!cost_table" type="102" refreshedVersion="8" minRefreshableVersion="5">
    <extLst>
      <ext xmlns:x15="http://schemas.microsoft.com/office/spreadsheetml/2010/11/main" uri="{DE250136-89BD-433C-8126-D09CA5730AF9}">
        <x15:connection id="cost_table">
          <x15:rangePr sourceName="_xlcn.WorksheetConnection_UAErefinariesEXCEL.xlsxcost_table1"/>
        </x15:connection>
      </ext>
    </extLst>
  </connection>
  <connection id="3" xr16:uid="{02316816-B1B4-4B9D-8CF7-49A2BA6DDBE8}" name="WorksheetConnection_UAE refinaries EXCEL.xlsx!Fact_Table" type="102" refreshedVersion="8" minRefreshableVersion="5">
    <extLst>
      <ext xmlns:x15="http://schemas.microsoft.com/office/spreadsheetml/2010/11/main" uri="{DE250136-89BD-433C-8126-D09CA5730AF9}">
        <x15:connection id="Fact_Table">
          <x15:rangePr sourceName="_xlcn.WorksheetConnection_UAErefinariesEXCEL.xlsxFact_Table1"/>
        </x15:connection>
      </ext>
    </extLst>
  </connection>
  <connection id="4" xr16:uid="{FBCA06AA-38AE-4B37-96A1-445458ECF258}" name="WorksheetConnection_UAE refinaries EXCEL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UAErefinariesEXCEL.xlsxTable3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3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Fact_Table].[Commissioned_Year].[All]}"/>
    <s v="{[Fact_Table].[Operator].[All]}"/>
    <s v="{[Fact_Table].[Emirate].[All]}"/>
  </metadataStrings>
  <mdxMetadata count="3">
    <mdx n="0" f="s">
      <ms ns="1" c="0"/>
    </mdx>
    <mdx n="0" f="s">
      <ms ns="2" c="0"/>
    </mdx>
    <mdx n="0" f="s">
      <ms ns="3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4">
    <bk>
      <rc t="3" v="0"/>
    </bk>
    <bk>
      <rc t="3" v="1"/>
    </bk>
    <bk>
      <rc t="3" v="2"/>
    </bk>
    <bk>
      <rc t="2" v="0"/>
    </bk>
  </valueMetadata>
</metadata>
</file>

<file path=xl/sharedStrings.xml><?xml version="1.0" encoding="utf-8"?>
<sst xmlns="http://schemas.openxmlformats.org/spreadsheetml/2006/main" count="2703" uniqueCount="86">
  <si>
    <t>Refinery_Name</t>
  </si>
  <si>
    <t>Emirate</t>
  </si>
  <si>
    <t>Operator</t>
  </si>
  <si>
    <t>Capacity_BPD</t>
  </si>
  <si>
    <t>Commissioned_Year</t>
  </si>
  <si>
    <t>No_of_Employees</t>
  </si>
  <si>
    <t>Crude_Source</t>
  </si>
  <si>
    <t>Annual_Throughput_Million_Tons</t>
  </si>
  <si>
    <t>Environmental_Rating</t>
  </si>
  <si>
    <t>Petrol_Output_BPD</t>
  </si>
  <si>
    <t>Diesel_Output_BPD</t>
  </si>
  <si>
    <t>Gas_Output_BPD</t>
  </si>
  <si>
    <t>Employee_Category</t>
  </si>
  <si>
    <t>Average_Salary_AED</t>
  </si>
  <si>
    <t>Fujairah</t>
  </si>
  <si>
    <t>Ajman Petro</t>
  </si>
  <si>
    <t>Offshore</t>
  </si>
  <si>
    <t>Administration</t>
  </si>
  <si>
    <t>Ruwais Refinery</t>
  </si>
  <si>
    <t>Abu Dhabi</t>
  </si>
  <si>
    <t>Fujairah Energy</t>
  </si>
  <si>
    <t>Onshore</t>
  </si>
  <si>
    <t>Fujairah Refinery</t>
  </si>
  <si>
    <t>Engineering</t>
  </si>
  <si>
    <t>Sharjah Petrochem</t>
  </si>
  <si>
    <t>Umm Al Quwain</t>
  </si>
  <si>
    <t>Ras Al Khaimah</t>
  </si>
  <si>
    <t>Emirates Fuel Processing</t>
  </si>
  <si>
    <t>Mixed</t>
  </si>
  <si>
    <t>Maintenance</t>
  </si>
  <si>
    <t>Ajman Refinery</t>
  </si>
  <si>
    <t>Imported</t>
  </si>
  <si>
    <t>Ajman</t>
  </si>
  <si>
    <t>Gulf Energy</t>
  </si>
  <si>
    <t>Operations</t>
  </si>
  <si>
    <t>Jebel Ali Refinery</t>
  </si>
  <si>
    <t>Dubai Energy Refinery</t>
  </si>
  <si>
    <t>Al Ain Petro</t>
  </si>
  <si>
    <t>Quality Control</t>
  </si>
  <si>
    <t>Emirates Petrochem</t>
  </si>
  <si>
    <t>Sharjah</t>
  </si>
  <si>
    <t>Dubai</t>
  </si>
  <si>
    <t>Grand Total</t>
  </si>
  <si>
    <t>Row Labels</t>
  </si>
  <si>
    <t>0/P Producyivity/Day</t>
  </si>
  <si>
    <t>Adnoc Refining Plant</t>
  </si>
  <si>
    <t>Sharjah Refining Ltd</t>
  </si>
  <si>
    <t>Uae National Oil Co</t>
  </si>
  <si>
    <t>Adnoc Refining</t>
  </si>
  <si>
    <t>Rak Oil</t>
  </si>
  <si>
    <t>Enoc</t>
  </si>
  <si>
    <t>Uaq Petroleum</t>
  </si>
  <si>
    <t>Employee Productivity Level</t>
  </si>
  <si>
    <t>Petrol%</t>
  </si>
  <si>
    <t>Diesel %</t>
  </si>
  <si>
    <t>Gas %</t>
  </si>
  <si>
    <t>Sum of Petrol_Output_BPD</t>
  </si>
  <si>
    <t>Sum of Diesel_Output_BPD</t>
  </si>
  <si>
    <t>Sum of Gas_Output_BPD</t>
  </si>
  <si>
    <t>(All)</t>
  </si>
  <si>
    <t>Umm Al Quwain Refining Co</t>
  </si>
  <si>
    <t>Clean Energy</t>
  </si>
  <si>
    <t>Sum of Average_Salary_AED</t>
  </si>
  <si>
    <t>Excellent</t>
  </si>
  <si>
    <t>Good</t>
  </si>
  <si>
    <t>Salary /Output Barrel</t>
  </si>
  <si>
    <t>Refinary Age</t>
  </si>
  <si>
    <t>Year</t>
  </si>
  <si>
    <t>Average_Crude_Price_USD_per_Barrel</t>
  </si>
  <si>
    <t>Employee Category</t>
  </si>
  <si>
    <t>Employee Code</t>
  </si>
  <si>
    <t>Maintanance</t>
  </si>
  <si>
    <t>Admin_01</t>
  </si>
  <si>
    <t>Eng_02</t>
  </si>
  <si>
    <t>MC_03</t>
  </si>
  <si>
    <t>Op_04</t>
  </si>
  <si>
    <t>Qc_05</t>
  </si>
  <si>
    <t>Avg Salary</t>
  </si>
  <si>
    <t>cost per barrel</t>
  </si>
  <si>
    <t>Revenue /Day</t>
  </si>
  <si>
    <t>All</t>
  </si>
  <si>
    <t>Sum of Revenue</t>
  </si>
  <si>
    <t>Sum of 0/P Producyivity/Day</t>
  </si>
  <si>
    <t>Sum of Capacity_BPD</t>
  </si>
  <si>
    <t>Sum of No_of_Employees</t>
  </si>
  <si>
    <t>Count of Commissioned_Year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</si>
</sst>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AED&quot;#,##0"/>
    <numFmt numFmtId="165" formatCode="&quot;AED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0" fontId="0" fillId="35" borderId="0" xfId="0" applyFill="1"/>
    <xf numFmtId="164" fontId="0" fillId="0" borderId="0" xfId="0" applyNumberFormat="1" applyAlignment="1">
      <alignment horizontal="left"/>
    </xf>
    <xf numFmtId="2" fontId="0" fillId="35" borderId="0" xfId="0" applyNumberFormat="1" applyFill="1" applyAlignment="1">
      <alignment horizontal="left"/>
    </xf>
    <xf numFmtId="2" fontId="0" fillId="0" borderId="0" xfId="0" applyNumberFormat="1" applyAlignment="1">
      <alignment horizontal="left"/>
    </xf>
    <xf numFmtId="0" fontId="0" fillId="35" borderId="0" xfId="0" applyFill="1" applyAlignment="1">
      <alignment horizontal="left"/>
    </xf>
    <xf numFmtId="10" fontId="0" fillId="35" borderId="0" xfId="0" applyNumberFormat="1" applyFill="1" applyAlignment="1">
      <alignment horizontal="left"/>
    </xf>
    <xf numFmtId="10" fontId="0" fillId="0" borderId="0" xfId="0" applyNumberFormat="1" applyAlignment="1">
      <alignment horizontal="left"/>
    </xf>
    <xf numFmtId="0" fontId="13" fillId="33" borderId="10" xfId="0" applyFont="1" applyFill="1" applyBorder="1"/>
    <xf numFmtId="0" fontId="13" fillId="33" borderId="11" xfId="0" applyFont="1" applyFill="1" applyBorder="1"/>
    <xf numFmtId="1" fontId="13" fillId="33" borderId="11" xfId="0" applyNumberFormat="1" applyFont="1" applyFill="1" applyBorder="1"/>
    <xf numFmtId="49" fontId="13" fillId="33" borderId="11" xfId="0" applyNumberFormat="1" applyFont="1" applyFill="1" applyBorder="1"/>
    <xf numFmtId="2" fontId="13" fillId="33" borderId="11" xfId="0" applyNumberFormat="1" applyFont="1" applyFill="1" applyBorder="1"/>
    <xf numFmtId="164" fontId="13" fillId="33" borderId="11" xfId="0" applyNumberFormat="1" applyFont="1" applyFill="1" applyBorder="1" applyAlignment="1">
      <alignment horizontal="left"/>
    </xf>
    <xf numFmtId="0" fontId="0" fillId="34" borderId="10" xfId="0" applyFill="1" applyBorder="1"/>
    <xf numFmtId="0" fontId="0" fillId="34" borderId="11" xfId="0" applyFill="1" applyBorder="1"/>
    <xf numFmtId="1" fontId="0" fillId="34" borderId="11" xfId="0" applyNumberFormat="1" applyFill="1" applyBorder="1"/>
    <xf numFmtId="49" fontId="0" fillId="34" borderId="11" xfId="0" applyNumberFormat="1" applyFill="1" applyBorder="1"/>
    <xf numFmtId="2" fontId="0" fillId="34" borderId="11" xfId="0" applyNumberFormat="1" applyFill="1" applyBorder="1"/>
    <xf numFmtId="164" fontId="0" fillId="34" borderId="11" xfId="0" applyNumberFormat="1" applyFill="1" applyBorder="1" applyAlignment="1">
      <alignment horizontal="left"/>
    </xf>
    <xf numFmtId="2" fontId="0" fillId="34" borderId="11" xfId="0" applyNumberFormat="1" applyFill="1" applyBorder="1" applyAlignment="1">
      <alignment horizontal="left"/>
    </xf>
    <xf numFmtId="10" fontId="0" fillId="34" borderId="11" xfId="0" applyNumberFormat="1" applyFill="1" applyBorder="1" applyAlignment="1">
      <alignment horizontal="left"/>
    </xf>
    <xf numFmtId="10" fontId="0" fillId="34" borderId="12" xfId="0" applyNumberFormat="1" applyFill="1" applyBorder="1"/>
    <xf numFmtId="0" fontId="0" fillId="0" borderId="10" xfId="0" applyBorder="1"/>
    <xf numFmtId="0" fontId="0" fillId="0" borderId="11" xfId="0" applyBorder="1"/>
    <xf numFmtId="1" fontId="0" fillId="0" borderId="11" xfId="0" applyNumberFormat="1" applyBorder="1"/>
    <xf numFmtId="49" fontId="0" fillId="0" borderId="11" xfId="0" applyNumberFormat="1" applyBorder="1"/>
    <xf numFmtId="2" fontId="0" fillId="0" borderId="11" xfId="0" applyNumberFormat="1" applyBorder="1"/>
    <xf numFmtId="164" fontId="0" fillId="0" borderId="11" xfId="0" applyNumberFormat="1" applyBorder="1" applyAlignment="1">
      <alignment horizontal="left"/>
    </xf>
    <xf numFmtId="2" fontId="0" fillId="0" borderId="11" xfId="0" applyNumberFormat="1" applyBorder="1" applyAlignment="1">
      <alignment horizontal="left"/>
    </xf>
    <xf numFmtId="10" fontId="0" fillId="0" borderId="11" xfId="0" applyNumberFormat="1" applyBorder="1" applyAlignment="1">
      <alignment horizontal="left"/>
    </xf>
    <xf numFmtId="10" fontId="0" fillId="0" borderId="12" xfId="0" applyNumberFormat="1" applyBorder="1"/>
    <xf numFmtId="165" fontId="0" fillId="0" borderId="0" xfId="0" applyNumberFormat="1" applyAlignment="1">
      <alignment horizontal="left"/>
    </xf>
    <xf numFmtId="165" fontId="0" fillId="34" borderId="11" xfId="0" applyNumberFormat="1" applyFill="1" applyBorder="1" applyAlignment="1">
      <alignment horizontal="left"/>
    </xf>
    <xf numFmtId="1" fontId="0" fillId="35" borderId="0" xfId="0" applyNumberFormat="1" applyFill="1"/>
    <xf numFmtId="165" fontId="0" fillId="35" borderId="0" xfId="0" applyNumberFormat="1" applyFill="1" applyAlignment="1">
      <alignment horizontal="left"/>
    </xf>
    <xf numFmtId="0" fontId="16" fillId="34" borderId="13" xfId="0" applyFont="1" applyFill="1" applyBorder="1"/>
    <xf numFmtId="0" fontId="16" fillId="34" borderId="14" xfId="0" applyFont="1" applyFill="1" applyBorder="1" applyAlignment="1">
      <alignment horizontal="left"/>
    </xf>
    <xf numFmtId="0" fontId="16" fillId="34" borderId="14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numFmt numFmtId="164" formatCode="&quot;AED&quot;#,##0"/>
    </dxf>
    <dxf>
      <numFmt numFmtId="1" formatCode="0"/>
    </dxf>
    <dxf>
      <numFmt numFmtId="165" formatCode="&quot;AED&quot;#,##0.00"/>
      <alignment horizontal="left" vertical="bottom" textRotation="0" wrapText="0" indent="0" justifyLastLine="0" shrinkToFit="0" readingOrder="0"/>
    </dxf>
    <dxf>
      <numFmt numFmtId="165" formatCode="&quot;AED&quot;#,##0.0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4" formatCode="0.00%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64" formatCode="&quot;AED&quot;#,##0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164" formatCode="&quot;AED&quot;#,##0"/>
      <alignment horizontal="left" vertical="bottom" textRotation="0" wrapText="0" indent="0" justifyLastLine="0" shrinkToFit="0" readingOrder="0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microsoft.com/office/2017/06/relationships/rdRichValueStructure" Target="richData/rdrichvaluestructure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microsoft.com/office/2017/10/relationships/person" Target="persons/person.xml"/><Relationship Id="rId34" Type="http://schemas.openxmlformats.org/officeDocument/2006/relationships/customXml" Target="../customXml/item1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powerPivotData" Target="model/item.data"/><Relationship Id="rId29" Type="http://schemas.openxmlformats.org/officeDocument/2006/relationships/customXml" Target="../customXml/item7.xml"/><Relationship Id="rId41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10" Type="http://schemas.openxmlformats.org/officeDocument/2006/relationships/pivotCacheDefinition" Target="pivotCache/pivotCacheDefinition1.xml"/><Relationship Id="rId19" Type="http://schemas.microsoft.com/office/2017/06/relationships/rdRichValueTypes" Target="richData/rdRichValueTypes.xml"/><Relationship Id="rId31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microsoft.com/office/2017/06/relationships/rdRichValue" Target="richData/rdrichvalue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thu rakkappan" refreshedDate="45966.910770717594" createdVersion="8" refreshedVersion="8" minRefreshableVersion="3" recordCount="500" xr:uid="{EE4BDE1A-55CC-47A8-A1A7-3D0FA9D3C82C}">
  <cacheSource type="worksheet">
    <worksheetSource name="Fact_Table"/>
  </cacheSource>
  <cacheFields count="20">
    <cacheField name="Refinery_Name" numFmtId="0">
      <sharedItems count="10">
        <s v="Umm Al Quwain Refining Co"/>
        <s v="Ruwais Refinery"/>
        <s v="Fujairah Refinery"/>
        <s v="Sharjah Petrochem"/>
        <s v="Emirates Fuel Processing"/>
        <s v="Ajman Refinery"/>
        <s v="Jebel Ali Refinery"/>
        <s v="Dubai Energy Refinery"/>
        <s v="Al Ain Petro"/>
        <s v="Adnoc Refining Plant"/>
      </sharedItems>
    </cacheField>
    <cacheField name="Emirate" numFmtId="0">
      <sharedItems count="7">
        <s v="Fujairah"/>
        <s v="Abu Dhabi"/>
        <s v="Umm Al Quwain"/>
        <s v="Ras Al Khaimah"/>
        <s v="Ajman"/>
        <s v="Sharjah"/>
        <s v="Dubai"/>
      </sharedItems>
    </cacheField>
    <cacheField name="Operator" numFmtId="0">
      <sharedItems count="10">
        <s v="Ajman Petro"/>
        <s v="Fujairah Energy"/>
        <s v="Sharjah Refining Ltd"/>
        <s v="Gulf Energy"/>
        <s v="Uae National Oil Co"/>
        <s v="Emirates Petrochem"/>
        <s v="Adnoc Refining"/>
        <s v="Rak Oil"/>
        <s v="Enoc"/>
        <s v="Uaq Petroleum"/>
      </sharedItems>
    </cacheField>
    <cacheField name="Capacity_BPD" numFmtId="1">
      <sharedItems containsSemiMixedTypes="0" containsString="0" containsNumber="1" containsInteger="1" minValue="50257" maxValue="896216"/>
    </cacheField>
    <cacheField name="Commissioned_Year" numFmtId="1">
      <sharedItems containsSemiMixedTypes="0" containsString="0" containsNumber="1" containsInteger="1" minValue="1975" maxValue="2023" count="49">
        <n v="2009"/>
        <n v="2000"/>
        <n v="2005"/>
        <n v="1991"/>
        <n v="1999"/>
        <n v="2001"/>
        <n v="2011"/>
        <n v="2018"/>
        <n v="2013"/>
        <n v="2002"/>
        <n v="1994"/>
        <n v="1988"/>
        <n v="2010"/>
        <n v="2012"/>
        <n v="1992"/>
        <n v="1977"/>
        <n v="2017"/>
        <n v="1982"/>
        <n v="1990"/>
        <n v="2004"/>
        <n v="2016"/>
        <n v="2022"/>
        <n v="1987"/>
        <n v="1986"/>
        <n v="2006"/>
        <n v="1996"/>
        <n v="1998"/>
        <n v="2007"/>
        <n v="2014"/>
        <n v="1989"/>
        <n v="1976"/>
        <n v="1995"/>
        <n v="2019"/>
        <n v="2015"/>
        <n v="2008"/>
        <n v="2020"/>
        <n v="1985"/>
        <n v="1980"/>
        <n v="1997"/>
        <n v="1984"/>
        <n v="2021"/>
        <n v="2003"/>
        <n v="1978"/>
        <n v="2023"/>
        <n v="1983"/>
        <n v="1981"/>
        <n v="1979"/>
        <n v="1975"/>
        <n v="1993"/>
      </sharedItems>
    </cacheField>
    <cacheField name="No_of_Employees" numFmtId="1">
      <sharedItems containsSemiMixedTypes="0" containsString="0" containsNumber="1" containsInteger="1" minValue="301" maxValue="2499"/>
    </cacheField>
    <cacheField name="Crude_Source" numFmtId="49">
      <sharedItems count="4">
        <s v="Offshore"/>
        <s v="Onshore"/>
        <s v="Mixed"/>
        <s v="Imported"/>
      </sharedItems>
    </cacheField>
    <cacheField name="Annual_Throughput_Million_Tons" numFmtId="2">
      <sharedItems containsSemiMixedTypes="0" containsString="0" containsNumber="1" minValue="1.53" maxValue="34.97"/>
    </cacheField>
    <cacheField name="Environmental_Rating" numFmtId="2">
      <sharedItems containsSemiMixedTypes="0" containsString="0" containsNumber="1" minValue="5.0199999999999996" maxValue="9.99"/>
    </cacheField>
    <cacheField name="Petrol_Output_BPD" numFmtId="1">
      <sharedItems containsSemiMixedTypes="0" containsString="0" containsNumber="1" containsInteger="1" minValue="17209" maxValue="411717" count="500">
        <n v="332328"/>
        <n v="340905"/>
        <n v="325999"/>
        <n v="411717"/>
        <n v="237993"/>
        <n v="296517"/>
        <n v="237996"/>
        <n v="272646"/>
        <n v="190924"/>
        <n v="106497"/>
        <n v="48859"/>
        <n v="201163"/>
        <n v="389181"/>
        <n v="175622"/>
        <n v="310098"/>
        <n v="300899"/>
        <n v="84369"/>
        <n v="295073"/>
        <n v="254792"/>
        <n v="88355"/>
        <n v="244650"/>
        <n v="105691"/>
        <n v="155782"/>
        <n v="92785"/>
        <n v="97716"/>
        <n v="57712"/>
        <n v="41479"/>
        <n v="70554"/>
        <n v="216283"/>
        <n v="98643"/>
        <n v="210544"/>
        <n v="106730"/>
        <n v="171620"/>
        <n v="110872"/>
        <n v="44071"/>
        <n v="222402"/>
        <n v="65909"/>
        <n v="102774"/>
        <n v="105605"/>
        <n v="91726"/>
        <n v="108386"/>
        <n v="133775"/>
        <n v="315789"/>
        <n v="82853"/>
        <n v="79993"/>
        <n v="56032"/>
        <n v="384447"/>
        <n v="233971"/>
        <n v="18286"/>
        <n v="247191"/>
        <n v="145457"/>
        <n v="67016"/>
        <n v="126254"/>
        <n v="189470"/>
        <n v="182857"/>
        <n v="70345"/>
        <n v="359983"/>
        <n v="125199"/>
        <n v="119320"/>
        <n v="209885"/>
        <n v="259993"/>
        <n v="80293"/>
        <n v="87809"/>
        <n v="144242"/>
        <n v="41521"/>
        <n v="40504"/>
        <n v="94038"/>
        <n v="252323"/>
        <n v="205113"/>
        <n v="214054"/>
        <n v="71772"/>
        <n v="293560"/>
        <n v="167636"/>
        <n v="168835"/>
        <n v="53174"/>
        <n v="193493"/>
        <n v="59387"/>
        <n v="31411"/>
        <n v="63402"/>
        <n v="258670"/>
        <n v="161389"/>
        <n v="142927"/>
        <n v="158988"/>
        <n v="297430"/>
        <n v="225974"/>
        <n v="293488"/>
        <n v="80556"/>
        <n v="170990"/>
        <n v="151576"/>
        <n v="245606"/>
        <n v="85811"/>
        <n v="326309"/>
        <n v="184612"/>
        <n v="107948"/>
        <n v="168276"/>
        <n v="39937"/>
        <n v="30668"/>
        <n v="140585"/>
        <n v="96817"/>
        <n v="123153"/>
        <n v="80330"/>
        <n v="375236"/>
        <n v="237972"/>
        <n v="290182"/>
        <n v="25916"/>
        <n v="235608"/>
        <n v="308860"/>
        <n v="231691"/>
        <n v="351470"/>
        <n v="139041"/>
        <n v="164229"/>
        <n v="199207"/>
        <n v="297843"/>
        <n v="163658"/>
        <n v="273756"/>
        <n v="121456"/>
        <n v="309890"/>
        <n v="294681"/>
        <n v="256061"/>
        <n v="207369"/>
        <n v="81247"/>
        <n v="149967"/>
        <n v="264024"/>
        <n v="76749"/>
        <n v="140440"/>
        <n v="215143"/>
        <n v="46194"/>
        <n v="213448"/>
        <n v="92458"/>
        <n v="113530"/>
        <n v="37069"/>
        <n v="253898"/>
        <n v="96952"/>
        <n v="41906"/>
        <n v="101564"/>
        <n v="259493"/>
        <n v="352311"/>
        <n v="282164"/>
        <n v="160733"/>
        <n v="47145"/>
        <n v="93123"/>
        <n v="321617"/>
        <n v="193201"/>
        <n v="80453"/>
        <n v="144025"/>
        <n v="267794"/>
        <n v="116492"/>
        <n v="189718"/>
        <n v="258501"/>
        <n v="59117"/>
        <n v="154144"/>
        <n v="208977"/>
        <n v="114266"/>
        <n v="162596"/>
        <n v="270102"/>
        <n v="296110"/>
        <n v="357821"/>
        <n v="40780"/>
        <n v="166684"/>
        <n v="281949"/>
        <n v="184177"/>
        <n v="152936"/>
        <n v="295303"/>
        <n v="36824"/>
        <n v="19486"/>
        <n v="77600"/>
        <n v="267552"/>
        <n v="41257"/>
        <n v="246506"/>
        <n v="70788"/>
        <n v="170666"/>
        <n v="211678"/>
        <n v="207793"/>
        <n v="292626"/>
        <n v="121672"/>
        <n v="259860"/>
        <n v="243588"/>
        <n v="175274"/>
        <n v="100413"/>
        <n v="120964"/>
        <n v="23051"/>
        <n v="119330"/>
        <n v="291680"/>
        <n v="105224"/>
        <n v="311280"/>
        <n v="150865"/>
        <n v="197826"/>
        <n v="159665"/>
        <n v="66878"/>
        <n v="192995"/>
        <n v="92145"/>
        <n v="58965"/>
        <n v="278665"/>
        <n v="78808"/>
        <n v="191537"/>
        <n v="68905"/>
        <n v="255337"/>
        <n v="141592"/>
        <n v="243242"/>
        <n v="190238"/>
        <n v="275933"/>
        <n v="148755"/>
        <n v="278869"/>
        <n v="294399"/>
        <n v="112423"/>
        <n v="35126"/>
        <n v="135335"/>
        <n v="91229"/>
        <n v="312603"/>
        <n v="328710"/>
        <n v="229270"/>
        <n v="26794"/>
        <n v="98714"/>
        <n v="79440"/>
        <n v="91140"/>
        <n v="231861"/>
        <n v="194508"/>
        <n v="275868"/>
        <n v="50279"/>
        <n v="82151"/>
        <n v="53146"/>
        <n v="254328"/>
        <n v="339474"/>
        <n v="86768"/>
        <n v="302081"/>
        <n v="269274"/>
        <n v="285493"/>
        <n v="53179"/>
        <n v="90551"/>
        <n v="307951"/>
        <n v="340209"/>
        <n v="26854"/>
        <n v="276704"/>
        <n v="295086"/>
        <n v="32431"/>
        <n v="48205"/>
        <n v="46585"/>
        <n v="238922"/>
        <n v="262690"/>
        <n v="257367"/>
        <n v="132055"/>
        <n v="122966"/>
        <n v="153566"/>
        <n v="229929"/>
        <n v="116635"/>
        <n v="96650"/>
        <n v="208053"/>
        <n v="249452"/>
        <n v="144706"/>
        <n v="150716"/>
        <n v="150263"/>
        <n v="316120"/>
        <n v="292905"/>
        <n v="223257"/>
        <n v="225569"/>
        <n v="68995"/>
        <n v="133455"/>
        <n v="99715"/>
        <n v="99519"/>
        <n v="149247"/>
        <n v="236139"/>
        <n v="30473"/>
        <n v="80856"/>
        <n v="279181"/>
        <n v="297627"/>
        <n v="22575"/>
        <n v="90313"/>
        <n v="240925"/>
        <n v="280763"/>
        <n v="187252"/>
        <n v="218285"/>
        <n v="156114"/>
        <n v="177587"/>
        <n v="79603"/>
        <n v="179018"/>
        <n v="70416"/>
        <n v="29955"/>
        <n v="153573"/>
        <n v="43908"/>
        <n v="60098"/>
        <n v="37379"/>
        <n v="184195"/>
        <n v="256377"/>
        <n v="53821"/>
        <n v="299305"/>
        <n v="282413"/>
        <n v="298289"/>
        <n v="92201"/>
        <n v="241700"/>
        <n v="249306"/>
        <n v="48676"/>
        <n v="39418"/>
        <n v="79254"/>
        <n v="110290"/>
        <n v="263631"/>
        <n v="129836"/>
        <n v="245728"/>
        <n v="291799"/>
        <n v="230789"/>
        <n v="36135"/>
        <n v="260062"/>
        <n v="65873"/>
        <n v="101241"/>
        <n v="175444"/>
        <n v="325006"/>
        <n v="224080"/>
        <n v="209915"/>
        <n v="239186"/>
        <n v="97507"/>
        <n v="50694"/>
        <n v="249380"/>
        <n v="182490"/>
        <n v="35898"/>
        <n v="257208"/>
        <n v="53487"/>
        <n v="118154"/>
        <n v="337425"/>
        <n v="274492"/>
        <n v="46798"/>
        <n v="138563"/>
        <n v="255757"/>
        <n v="298881"/>
        <n v="168049"/>
        <n v="124680"/>
        <n v="280308"/>
        <n v="218248"/>
        <n v="79751"/>
        <n v="101709"/>
        <n v="27626"/>
        <n v="229386"/>
        <n v="111797"/>
        <n v="352158"/>
        <n v="118767"/>
        <n v="170060"/>
        <n v="119445"/>
        <n v="256342"/>
        <n v="203810"/>
        <n v="260279"/>
        <n v="303145"/>
        <n v="387533"/>
        <n v="126611"/>
        <n v="286997"/>
        <n v="70520"/>
        <n v="308307"/>
        <n v="211343"/>
        <n v="131762"/>
        <n v="276155"/>
        <n v="226417"/>
        <n v="111781"/>
        <n v="192057"/>
        <n v="210911"/>
        <n v="296333"/>
        <n v="23021"/>
        <n v="239967"/>
        <n v="370444"/>
        <n v="87769"/>
        <n v="320263"/>
        <n v="30512"/>
        <n v="86854"/>
        <n v="279974"/>
        <n v="183883"/>
        <n v="306958"/>
        <n v="156372"/>
        <n v="24533"/>
        <n v="164568"/>
        <n v="204083"/>
        <n v="50771"/>
        <n v="134086"/>
        <n v="22495"/>
        <n v="266694"/>
        <n v="289638"/>
        <n v="68130"/>
        <n v="255016"/>
        <n v="181558"/>
        <n v="181023"/>
        <n v="109103"/>
        <n v="362535"/>
        <n v="306319"/>
        <n v="342582"/>
        <n v="225229"/>
        <n v="255115"/>
        <n v="73508"/>
        <n v="228327"/>
        <n v="172092"/>
        <n v="339196"/>
        <n v="81757"/>
        <n v="147252"/>
        <n v="56827"/>
        <n v="97490"/>
        <n v="210609"/>
        <n v="207686"/>
        <n v="162806"/>
        <n v="42821"/>
        <n v="79918"/>
        <n v="48922"/>
        <n v="244185"/>
        <n v="94662"/>
        <n v="254615"/>
        <n v="72475"/>
        <n v="39097"/>
        <n v="181042"/>
        <n v="298053"/>
        <n v="132249"/>
        <n v="307408"/>
        <n v="324962"/>
        <n v="298302"/>
        <n v="143785"/>
        <n v="244987"/>
        <n v="341537"/>
        <n v="99131"/>
        <n v="88473"/>
        <n v="22800"/>
        <n v="248355"/>
        <n v="88317"/>
        <n v="188709"/>
        <n v="50425"/>
        <n v="318917"/>
        <n v="169557"/>
        <n v="196638"/>
        <n v="34835"/>
        <n v="64052"/>
        <n v="198472"/>
        <n v="234541"/>
        <n v="263791"/>
        <n v="375394"/>
        <n v="191330"/>
        <n v="187017"/>
        <n v="92765"/>
        <n v="159178"/>
        <n v="39308"/>
        <n v="233669"/>
        <n v="126959"/>
        <n v="52736"/>
        <n v="87124"/>
        <n v="280699"/>
        <n v="229515"/>
        <n v="181975"/>
        <n v="124735"/>
        <n v="162713"/>
        <n v="94144"/>
        <n v="224077"/>
        <n v="195457"/>
        <n v="283325"/>
        <n v="225288"/>
        <n v="240960"/>
        <n v="187084"/>
        <n v="92054"/>
        <n v="98390"/>
        <n v="89699"/>
        <n v="150133"/>
        <n v="91843"/>
        <n v="142464"/>
        <n v="271583"/>
        <n v="58311"/>
        <n v="221856"/>
        <n v="132945"/>
        <n v="313899"/>
        <n v="87331"/>
        <n v="21615"/>
        <n v="44511"/>
        <n v="174207"/>
        <n v="271392"/>
        <n v="80458"/>
        <n v="109223"/>
        <n v="39607"/>
        <n v="271488"/>
        <n v="206009"/>
        <n v="259105"/>
        <n v="253319"/>
        <n v="164406"/>
        <n v="369031"/>
        <n v="324721"/>
        <n v="205132"/>
        <n v="224909"/>
        <n v="322154"/>
        <n v="259542"/>
        <n v="240750"/>
        <n v="257676"/>
        <n v="150936"/>
        <n v="58677"/>
        <n v="244009"/>
        <n v="203818"/>
        <n v="182540"/>
        <n v="177225"/>
        <n v="303325"/>
        <n v="148832"/>
        <n v="248617"/>
        <n v="30896"/>
        <n v="17209"/>
        <n v="204318"/>
        <n v="128011"/>
        <n v="262975"/>
        <n v="288529"/>
        <n v="186492"/>
        <n v="94745"/>
        <n v="236206"/>
        <n v="65164"/>
        <n v="153987"/>
        <n v="119299"/>
        <n v="292922"/>
      </sharedItems>
    </cacheField>
    <cacheField name="Diesel_Output_BPD" numFmtId="1">
      <sharedItems containsSemiMixedTypes="0" containsString="0" containsNumber="1" containsInteger="1" minValue="20374" maxValue="495270"/>
    </cacheField>
    <cacheField name="Gas_Output_BPD" numFmtId="1">
      <sharedItems containsSemiMixedTypes="0" containsString="0" containsNumber="1" containsInteger="1" minValue="6650" maxValue="243216"/>
    </cacheField>
    <cacheField name="Employee_Category" numFmtId="49">
      <sharedItems count="5">
        <s v="Administration"/>
        <s v="Engineering"/>
        <s v="Maintenance"/>
        <s v="Operations"/>
        <s v="Quality Control"/>
      </sharedItems>
    </cacheField>
    <cacheField name="Average_Salary_AED" numFmtId="164">
      <sharedItems containsSemiMixedTypes="0" containsString="0" containsNumber="1" containsInteger="1" minValue="8125" maxValue="24969"/>
    </cacheField>
    <cacheField name="0/P Producyivity/Day" numFmtId="2">
      <sharedItems containsSemiMixedTypes="0" containsString="0" containsNumber="1" minValue="26.446288209606987" maxValue="2293.6055900621118"/>
    </cacheField>
    <cacheField name="Employee Productivity Level" numFmtId="0">
      <sharedItems/>
    </cacheField>
    <cacheField name="Petrol%" numFmtId="10">
      <sharedItems containsSemiMixedTypes="0" containsString="0" containsNumber="1" minValue="0.26493641073951957" maxValue="0.50120389995760917"/>
    </cacheField>
    <cacheField name="Diesel %" numFmtId="10">
      <sharedItems containsSemiMixedTypes="0" containsString="0" containsNumber="1" minValue="0.31625642726573666" maxValue="0.58121045728100407"/>
    </cacheField>
    <cacheField name="Gas %" numFmtId="10">
      <sharedItems containsSemiMixedTypes="0" containsString="0" containsNumber="1" minValue="0.10409795918367347" maxValue="0.30601613570865127"/>
    </cacheField>
    <cacheField name="Clean Energy" numFmtId="1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thu rakkappan" refreshedDate="45971.470637268518" backgroundQuery="1" createdVersion="8" refreshedVersion="8" minRefreshableVersion="3" recordCount="0" supportSubquery="1" supportAdvancedDrill="1" xr:uid="{C90E22F4-C1B5-4FF8-BAEC-6F3A1381D63F}">
  <cacheSource type="external" connectionId="1"/>
  <cacheFields count="6">
    <cacheField name="[Fact_Table].[Commissioned_Year].[Commissioned_Year]" caption="Commissioned_Year" numFmtId="0" hierarchy="6" level="1">
      <sharedItems containsSemiMixedTypes="0" containsNonDate="0" containsString="0"/>
    </cacheField>
    <cacheField name="[Fact_Table].[Refinery_Name].[Refinery_Name]" caption="Refinery_Name" numFmtId="0" hierarchy="2" level="1">
      <sharedItems count="10">
        <s v="Adnoc Refining Plant"/>
        <s v="Ajman Refinery"/>
        <s v="Al Ain Petro"/>
        <s v="Dubai Energy Refinery"/>
        <s v="Emirates Fuel Processing"/>
        <s v="Fujairah Refinery"/>
        <s v="Jebel Ali Refinery"/>
        <s v="Ruwais Refinery"/>
        <s v="Sharjah Petrochem"/>
        <s v="Umm Al Quwain Refining Co"/>
      </sharedItems>
    </cacheField>
    <cacheField name="[Measures].[Sum of Revenue]" caption="Sum of Revenue" numFmtId="0" hierarchy="32" level="32767"/>
    <cacheField name="[Fact_Table].[Operator].[Operator]" caption="Operator" numFmtId="0" hierarchy="4" level="1">
      <sharedItems containsSemiMixedTypes="0" containsNonDate="0" containsString="0"/>
    </cacheField>
    <cacheField name="[Fact_Table].[Emirate].[Emirate]" caption="Emirate" numFmtId="0" hierarchy="3" level="1">
      <sharedItems containsSemiMixedTypes="0" containsNonDate="0" containsString="0"/>
    </cacheField>
    <cacheField name="[Measures].[Sum of 0/P Producyivity/Day]" caption="Sum of 0/P Producyivity/Day" numFmtId="0" hierarchy="33" level="32767"/>
  </cacheFields>
  <cacheHierarchies count="34">
    <cacheHierarchy uniqueName="[cost_table].[Year]" caption="Year" attribute="1" defaultMemberUniqueName="[cost_table].[Year].[All]" allUniqueName="[cost_table].[Year].[All]" dimensionUniqueName="[cost_table]" displayFolder="" count="0" memberValueDatatype="20" unbalanced="0"/>
    <cacheHierarchy uniqueName="[cost_table].[Average_Crude_Price_USD_per_Barrel]" caption="Average_Crude_Price_USD_per_Barrel" attribute="1" defaultMemberUniqueName="[cost_table].[Average_Crude_Price_USD_per_Barrel].[All]" allUniqueName="[cost_table].[Average_Crude_Price_USD_per_Barrel].[All]" dimensionUniqueName="[cost_table]" displayFolder="" count="0" memberValueDatatype="5" unbalanced="0"/>
    <cacheHierarchy uniqueName="[Fact_Table].[Refinery_Name]" caption="Refinery_Name" attribute="1" defaultMemberUniqueName="[Fact_Table].[Refinery_Name].[All]" allUniqueName="[Fact_Table].[Refinery_Name].[All]" dimensionUniqueName="[Fact_Table]" displayFolder="" count="2" memberValueDatatype="130" unbalanced="0">
      <fieldsUsage count="2">
        <fieldUsage x="-1"/>
        <fieldUsage x="1"/>
      </fieldsUsage>
    </cacheHierarchy>
    <cacheHierarchy uniqueName="[Fact_Table].[Emirate]" caption="Emirate" attribute="1" defaultMemberUniqueName="[Fact_Table].[Emirate].[All]" allUniqueName="[Fact_Table].[Emirate].[All]" dimensionUniqueName="[Fact_Table]" displayFolder="" count="2" memberValueDatatype="130" unbalanced="0">
      <fieldsUsage count="2">
        <fieldUsage x="-1"/>
        <fieldUsage x="4"/>
      </fieldsUsage>
    </cacheHierarchy>
    <cacheHierarchy uniqueName="[Fact_Table].[Operator]" caption="Operator" attribute="1" defaultMemberUniqueName="[Fact_Table].[Operator].[All]" allUniqueName="[Fact_Table].[Operator].[All]" dimensionUniqueName="[Fact_Table]" displayFolder="" count="2" memberValueDatatype="130" unbalanced="0">
      <fieldsUsage count="2">
        <fieldUsage x="-1"/>
        <fieldUsage x="3"/>
      </fieldsUsage>
    </cacheHierarchy>
    <cacheHierarchy uniqueName="[Fact_Table].[Capacity_BPD]" caption="Capacity_BPD" attribute="1" defaultMemberUniqueName="[Fact_Table].[Capacity_BPD].[All]" allUniqueName="[Fact_Table].[Capacity_BPD].[All]" dimensionUniqueName="[Fact_Table]" displayFolder="" count="0" memberValueDatatype="20" unbalanced="0"/>
    <cacheHierarchy uniqueName="[Fact_Table].[Commissioned_Year]" caption="Commissioned_Year" attribute="1" defaultMemberUniqueName="[Fact_Table].[Commissioned_Year].[All]" allUniqueName="[Fact_Table].[Commissioned_Year].[All]" dimensionUniqueName="[Fact_Table]" displayFolder="" count="2" memberValueDatatype="20" unbalanced="0">
      <fieldsUsage count="2">
        <fieldUsage x="-1"/>
        <fieldUsage x="0"/>
      </fieldsUsage>
    </cacheHierarchy>
    <cacheHierarchy uniqueName="[Fact_Table].[No_of_Employees]" caption="No_of_Employees" attribute="1" defaultMemberUniqueName="[Fact_Table].[No_of_Employees].[All]" allUniqueName="[Fact_Table].[No_of_Employees].[All]" dimensionUniqueName="[Fact_Table]" displayFolder="" count="0" memberValueDatatype="20" unbalanced="0"/>
    <cacheHierarchy uniqueName="[Fact_Table].[Crude_Source]" caption="Crude_Source" attribute="1" defaultMemberUniqueName="[Fact_Table].[Crude_Source].[All]" allUniqueName="[Fact_Table].[Crude_Source].[All]" dimensionUniqueName="[Fact_Table]" displayFolder="" count="0" memberValueDatatype="130" unbalanced="0"/>
    <cacheHierarchy uniqueName="[Fact_Table].[Annual_Throughput_Million_Tons]" caption="Annual_Throughput_Million_Tons" attribute="1" defaultMemberUniqueName="[Fact_Table].[Annual_Throughput_Million_Tons].[All]" allUniqueName="[Fact_Table].[Annual_Throughput_Million_Tons].[All]" dimensionUniqueName="[Fact_Table]" displayFolder="" count="0" memberValueDatatype="5" unbalanced="0"/>
    <cacheHierarchy uniqueName="[Fact_Table].[Environmental_Rating]" caption="Environmental_Rating" attribute="1" defaultMemberUniqueName="[Fact_Table].[Environmental_Rating].[All]" allUniqueName="[Fact_Table].[Environmental_Rating].[All]" dimensionUniqueName="[Fact_Table]" displayFolder="" count="0" memberValueDatatype="5" unbalanced="0"/>
    <cacheHierarchy uniqueName="[Fact_Table].[Petrol_Output_BPD]" caption="Petrol_Output_BPD" attribute="1" defaultMemberUniqueName="[Fact_Table].[Petrol_Output_BPD].[All]" allUniqueName="[Fact_Table].[Petrol_Output_BPD].[All]" dimensionUniqueName="[Fact_Table]" displayFolder="" count="0" memberValueDatatype="20" unbalanced="0"/>
    <cacheHierarchy uniqueName="[Fact_Table].[Diesel_Output_BPD]" caption="Diesel_Output_BPD" attribute="1" defaultMemberUniqueName="[Fact_Table].[Diesel_Output_BPD].[All]" allUniqueName="[Fact_Table].[Diesel_Output_BPD].[All]" dimensionUniqueName="[Fact_Table]" displayFolder="" count="0" memberValueDatatype="20" unbalanced="0"/>
    <cacheHierarchy uniqueName="[Fact_Table].[Gas_Output_BPD]" caption="Gas_Output_BPD" attribute="1" defaultMemberUniqueName="[Fact_Table].[Gas_Output_BPD].[All]" allUniqueName="[Fact_Table].[Gas_Output_BPD].[All]" dimensionUniqueName="[Fact_Table]" displayFolder="" count="0" memberValueDatatype="20" unbalanced="0"/>
    <cacheHierarchy uniqueName="[Fact_Table].[Employee_Category]" caption="Employee_Category" attribute="1" defaultMemberUniqueName="[Fact_Table].[Employee_Category].[All]" allUniqueName="[Fact_Table].[Employee_Category].[All]" dimensionUniqueName="[Fact_Table]" displayFolder="" count="0" memberValueDatatype="130" unbalanced="0"/>
    <cacheHierarchy uniqueName="[Fact_Table].[Average_Salary_AED]" caption="Average_Salary_AED" attribute="1" defaultMemberUniqueName="[Fact_Table].[Average_Salary_AED].[All]" allUniqueName="[Fact_Table].[Average_Salary_AED].[All]" dimensionUniqueName="[Fact_Table]" displayFolder="" count="0" memberValueDatatype="20" unbalanced="0"/>
    <cacheHierarchy uniqueName="[Fact_Table].[0/P Producyivity/Day]" caption="0/P Producyivity/Day" attribute="1" defaultMemberUniqueName="[Fact_Table].[0/P Producyivity/Day].[All]" allUniqueName="[Fact_Table].[0/P Producyivity/Day].[All]" dimensionUniqueName="[Fact_Table]" displayFolder="" count="0" memberValueDatatype="5" unbalanced="0"/>
    <cacheHierarchy uniqueName="[Fact_Table].[Employee Productivity Level]" caption="Employee Productivity Level" attribute="1" defaultMemberUniqueName="[Fact_Table].[Employee Productivity Level].[All]" allUniqueName="[Fact_Table].[Employee Productivity Level].[All]" dimensionUniqueName="[Fact_Table]" displayFolder="" count="0" memberValueDatatype="130" unbalanced="0"/>
    <cacheHierarchy uniqueName="[Fact_Table].[Salary /Output Barrel]" caption="Salary /Output Barrel" attribute="1" defaultMemberUniqueName="[Fact_Table].[Salary /Output Barrel].[All]" allUniqueName="[Fact_Table].[Salary /Output Barrel].[All]" dimensionUniqueName="[Fact_Table]" displayFolder="" count="0" memberValueDatatype="5" unbalanced="0"/>
    <cacheHierarchy uniqueName="[Fact_Table].[Petrol%]" caption="Petrol%" attribute="1" defaultMemberUniqueName="[Fact_Table].[Petrol%].[All]" allUniqueName="[Fact_Table].[Petrol%].[All]" dimensionUniqueName="[Fact_Table]" displayFolder="" count="0" memberValueDatatype="5" unbalanced="0"/>
    <cacheHierarchy uniqueName="[Fact_Table].[Diesel %]" caption="Diesel %" attribute="1" defaultMemberUniqueName="[Fact_Table].[Diesel %].[All]" allUniqueName="[Fact_Table].[Diesel %].[All]" dimensionUniqueName="[Fact_Table]" displayFolder="" count="0" memberValueDatatype="5" unbalanced="0"/>
    <cacheHierarchy uniqueName="[Fact_Table].[Gas %]" caption="Gas %" attribute="1" defaultMemberUniqueName="[Fact_Table].[Gas %].[All]" allUniqueName="[Fact_Table].[Gas %].[All]" dimensionUniqueName="[Fact_Table]" displayFolder="" count="0" memberValueDatatype="5" unbalanced="0"/>
    <cacheHierarchy uniqueName="[Fact_Table].[Clean Energy]" caption="Clean Energy" attribute="1" defaultMemberUniqueName="[Fact_Table].[Clean Energy].[All]" allUniqueName="[Fact_Table].[Clean Energy].[All]" dimensionUniqueName="[Fact_Table]" displayFolder="" count="0" memberValueDatatype="130" unbalanced="0"/>
    <cacheHierarchy uniqueName="[Fact_Table].[Refinary Age]" caption="Refinary Age" attribute="1" defaultMemberUniqueName="[Fact_Table].[Refinary Age].[All]" allUniqueName="[Fact_Table].[Refinary Age].[All]" dimensionUniqueName="[Fact_Table]" displayFolder="" count="0" memberValueDatatype="20" unbalanced="0"/>
    <cacheHierarchy uniqueName="[Fact_Table].[Revenue]" caption="Revenue" attribute="1" defaultMemberUniqueName="[Fact_Table].[Revenue].[All]" allUniqueName="[Fact_Table].[Revenue].[All]" dimensionUniqueName="[Fact_Table]" displayFolder="" count="0" memberValueDatatype="5" unbalanced="0"/>
    <cacheHierarchy uniqueName="[Table3].[Employee Code]" caption="Employee Code" attribute="1" defaultMemberUniqueName="[Table3].[Employee Code].[All]" allUniqueName="[Table3].[Employee Code].[All]" dimensionUniqueName="[Table3]" displayFolder="" count="0" memberValueDatatype="130" unbalanced="0"/>
    <cacheHierarchy uniqueName="[Table3].[Employee Category]" caption="Employee Category" attribute="1" defaultMemberUniqueName="[Table3].[Employee Category].[All]" allUniqueName="[Table3].[Employee Category].[All]" dimensionUniqueName="[Table3]" displayFolder="" count="0" memberValueDatatype="130" unbalanced="0"/>
    <cacheHierarchy uniqueName="[Table3].[Avg Salary]" caption="Avg Salary" attribute="1" defaultMemberUniqueName="[Table3].[Avg Salary].[All]" allUniqueName="[Table3].[Avg Salary].[All]" dimensionUniqueName="[Table3]" displayFolder="" count="0" memberValueDatatype="5" unbalanced="0"/>
    <cacheHierarchy uniqueName="[Measures].[__XL_Count Fact_Table]" caption="__XL_Count Fact_Table" measure="1" displayFolder="" measureGroup="Fact_Table" count="0" hidden="1"/>
    <cacheHierarchy uniqueName="[Measures].[__XL_Count cost_table]" caption="__XL_Count cost_table" measure="1" displayFolder="" measureGroup="cost_table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Fact_Tabl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0/P Producyivity/Day]" caption="Sum of 0/P Producyivity/Day" measure="1" displayFolder="" measureGroup="Fact_Tabl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4">
    <dimension name="cost_table" uniqueName="[cost_table]" caption="cost_table"/>
    <dimension name="Fact_Table" uniqueName="[Fact_Table]" caption="Fact_Table"/>
    <dimension measure="1" name="Measures" uniqueName="[Measures]" caption="Measures"/>
    <dimension name="Table3" uniqueName="[Table3]" caption="Table3"/>
  </dimensions>
  <measureGroups count="3">
    <measureGroup name="cost_table" caption="cost_table"/>
    <measureGroup name="Fact_Table" caption="Fact_Table"/>
    <measureGroup name="Table3" caption="Table3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n v="762632"/>
    <x v="0"/>
    <n v="2456"/>
    <x v="0"/>
    <n v="23.97"/>
    <n v="7.8"/>
    <x v="0"/>
    <n v="293866"/>
    <n v="136436"/>
    <x v="0"/>
    <n v="23487"/>
    <n v="310.51710097719871"/>
    <s v="Low"/>
    <n v="0.43576456272487912"/>
    <n v="0.38533132624909522"/>
    <n v="0.17890148852919888"/>
    <s v="Good"/>
  </r>
  <r>
    <x v="1"/>
    <x v="1"/>
    <x v="1"/>
    <n v="729852"/>
    <x v="1"/>
    <n v="1992"/>
    <x v="1"/>
    <n v="24.66"/>
    <n v="6.53"/>
    <x v="1"/>
    <n v="291854"/>
    <n v="97092"/>
    <x v="0"/>
    <n v="14971"/>
    <n v="366.39106425702812"/>
    <s v="Low"/>
    <n v="0.46708784794725505"/>
    <n v="0.399881071778936"/>
    <n v="0.13302971013301326"/>
    <s v="Good"/>
  </r>
  <r>
    <x v="2"/>
    <x v="1"/>
    <x v="2"/>
    <n v="769411"/>
    <x v="2"/>
    <n v="1712"/>
    <x v="0"/>
    <n v="14.99"/>
    <n v="6.18"/>
    <x v="2"/>
    <n v="330649"/>
    <n v="112761"/>
    <x v="1"/>
    <n v="10954"/>
    <n v="449.42114485981307"/>
    <s v="Low"/>
    <n v="0.4236994272242014"/>
    <n v="0.42974301121247294"/>
    <n v="0.14655496217236302"/>
    <s v="Good"/>
  </r>
  <r>
    <x v="3"/>
    <x v="2"/>
    <x v="1"/>
    <n v="893222"/>
    <x v="3"/>
    <n v="810"/>
    <x v="1"/>
    <n v="24.48"/>
    <n v="7.68"/>
    <x v="3"/>
    <n v="306461"/>
    <n v="175043"/>
    <x v="1"/>
    <n v="14055"/>
    <n v="1102.7419753086419"/>
    <s v="Low"/>
    <n v="0.46093468365087292"/>
    <n v="0.34309611720266631"/>
    <n v="0.19596807960395063"/>
    <s v="Good"/>
  </r>
  <r>
    <x v="0"/>
    <x v="3"/>
    <x v="2"/>
    <n v="567323"/>
    <x v="4"/>
    <n v="764"/>
    <x v="1"/>
    <n v="8.44"/>
    <n v="6.42"/>
    <x v="4"/>
    <n v="247493"/>
    <n v="81836"/>
    <x v="1"/>
    <n v="8458"/>
    <n v="742.56806282722516"/>
    <s v="Low"/>
    <n v="0.4195017653082988"/>
    <n v="0.4362470761805885"/>
    <n v="0.14424939584681037"/>
    <s v="Good"/>
  </r>
  <r>
    <x v="4"/>
    <x v="3"/>
    <x v="2"/>
    <n v="732249"/>
    <x v="5"/>
    <n v="825"/>
    <x v="2"/>
    <n v="19.12"/>
    <n v="8.4600000000000009"/>
    <x v="5"/>
    <n v="281412"/>
    <n v="154319"/>
    <x v="2"/>
    <n v="18262"/>
    <n v="887.57333333333338"/>
    <s v="Low"/>
    <n v="0.40494012282707109"/>
    <n v="0.38431189390494219"/>
    <n v="0.21074661761231495"/>
    <s v="Excellent"/>
  </r>
  <r>
    <x v="1"/>
    <x v="0"/>
    <x v="2"/>
    <n v="720812"/>
    <x v="6"/>
    <n v="770"/>
    <x v="2"/>
    <n v="32.31"/>
    <n v="5.98"/>
    <x v="6"/>
    <n v="364723"/>
    <n v="118091"/>
    <x v="2"/>
    <n v="20511"/>
    <n v="936.11688311688317"/>
    <s v="Low"/>
    <n v="0.33017763300278019"/>
    <n v="0.50598907898314682"/>
    <n v="0.16383051336548227"/>
    <s v="Good"/>
  </r>
  <r>
    <x v="5"/>
    <x v="3"/>
    <x v="2"/>
    <n v="727271"/>
    <x v="7"/>
    <n v="1790"/>
    <x v="3"/>
    <n v="3.68"/>
    <n v="5.05"/>
    <x v="7"/>
    <n v="340564"/>
    <n v="114060"/>
    <x v="1"/>
    <n v="9175"/>
    <n v="406.29608938547489"/>
    <s v="Low"/>
    <n v="0.37488914036170834"/>
    <n v="0.46827661215695388"/>
    <n v="0.15683287247807212"/>
    <s v="Good"/>
  </r>
  <r>
    <x v="1"/>
    <x v="4"/>
    <x v="3"/>
    <n v="476102"/>
    <x v="8"/>
    <n v="1527"/>
    <x v="0"/>
    <n v="7.23"/>
    <n v="7.23"/>
    <x v="8"/>
    <n v="182754"/>
    <n v="102422"/>
    <x v="3"/>
    <n v="15886"/>
    <n v="311.7878192534381"/>
    <s v="Low"/>
    <n v="0.40101490857001232"/>
    <n v="0.38385472020701444"/>
    <n v="0.21512617044246821"/>
    <s v="Good"/>
  </r>
  <r>
    <x v="6"/>
    <x v="0"/>
    <x v="0"/>
    <n v="294966"/>
    <x v="9"/>
    <n v="1353"/>
    <x v="0"/>
    <n v="26.72"/>
    <n v="7.59"/>
    <x v="9"/>
    <n v="106798"/>
    <n v="81669"/>
    <x v="1"/>
    <n v="10582"/>
    <n v="218.00739098300073"/>
    <s v="Low"/>
    <n v="0.3610483920180631"/>
    <n v="0.36206884861306049"/>
    <n v="0.27687597892638471"/>
    <s v="Good"/>
  </r>
  <r>
    <x v="7"/>
    <x v="1"/>
    <x v="1"/>
    <n v="128263"/>
    <x v="10"/>
    <n v="750"/>
    <x v="0"/>
    <n v="1.65"/>
    <n v="8.66"/>
    <x v="10"/>
    <n v="52204"/>
    <n v="27198"/>
    <x v="1"/>
    <n v="14185"/>
    <n v="171.01466666666667"/>
    <s v="Low"/>
    <n v="0.38092824898840666"/>
    <n v="0.40700747682496119"/>
    <n v="0.21204868122529491"/>
    <s v="Excellent"/>
  </r>
  <r>
    <x v="8"/>
    <x v="3"/>
    <x v="4"/>
    <n v="548928"/>
    <x v="11"/>
    <n v="1136"/>
    <x v="1"/>
    <n v="34.229999999999997"/>
    <n v="5.29"/>
    <x v="11"/>
    <n v="230274"/>
    <n v="117489"/>
    <x v="4"/>
    <n v="19606"/>
    <n v="483.20950704225351"/>
    <s v="Low"/>
    <n v="0.36646518304768566"/>
    <n v="0.4194976390346275"/>
    <n v="0.21403353445260581"/>
    <s v="Good"/>
  </r>
  <r>
    <x v="6"/>
    <x v="3"/>
    <x v="1"/>
    <n v="809530"/>
    <x v="12"/>
    <n v="1529"/>
    <x v="2"/>
    <n v="20.29"/>
    <n v="9.4499999999999993"/>
    <x v="12"/>
    <n v="296448"/>
    <n v="123900"/>
    <x v="2"/>
    <n v="24526"/>
    <n v="529.44996729888817"/>
    <s v="Low"/>
    <n v="0.48074932368164242"/>
    <n v="0.36619767025310984"/>
    <n v="0.15305177078057638"/>
    <s v="Excellent"/>
  </r>
  <r>
    <x v="7"/>
    <x v="0"/>
    <x v="5"/>
    <n v="512708"/>
    <x v="9"/>
    <n v="1418"/>
    <x v="3"/>
    <n v="13.03"/>
    <n v="7.25"/>
    <x v="13"/>
    <n v="229526"/>
    <n v="107559"/>
    <x v="2"/>
    <n v="24282"/>
    <n v="361.57052186177714"/>
    <s v="Low"/>
    <n v="0.34253805284879502"/>
    <n v="0.44767391965797299"/>
    <n v="0.20978607706530814"/>
    <s v="Good"/>
  </r>
  <r>
    <x v="8"/>
    <x v="5"/>
    <x v="6"/>
    <n v="859727"/>
    <x v="13"/>
    <n v="1194"/>
    <x v="1"/>
    <n v="11.7"/>
    <n v="6.82"/>
    <x v="14"/>
    <n v="444896"/>
    <n v="104732"/>
    <x v="2"/>
    <n v="20539"/>
    <n v="720.03852596314903"/>
    <s v="Low"/>
    <n v="0.36069356900504462"/>
    <n v="0.51748520169774825"/>
    <n v="0.12182006613727381"/>
    <s v="Good"/>
  </r>
  <r>
    <x v="9"/>
    <x v="4"/>
    <x v="5"/>
    <n v="770688"/>
    <x v="14"/>
    <n v="1296"/>
    <x v="3"/>
    <n v="22.96"/>
    <n v="6.95"/>
    <x v="15"/>
    <n v="338333"/>
    <n v="131455"/>
    <x v="1"/>
    <n v="19805"/>
    <n v="594.66589506172841"/>
    <s v="Low"/>
    <n v="0.39042907116758013"/>
    <n v="0.43900125602059459"/>
    <n v="0.17056837526988872"/>
    <s v="Good"/>
  </r>
  <r>
    <x v="9"/>
    <x v="0"/>
    <x v="7"/>
    <n v="318450"/>
    <x v="13"/>
    <n v="2217"/>
    <x v="1"/>
    <n v="7.11"/>
    <n v="6.79"/>
    <x v="16"/>
    <n v="156599"/>
    <n v="77480"/>
    <x v="3"/>
    <n v="12422"/>
    <n v="143.63915200721695"/>
    <s v="Low"/>
    <n v="0.26493641073951957"/>
    <n v="0.49175380750510284"/>
    <n v="0.24330350133458942"/>
    <s v="Good"/>
  </r>
  <r>
    <x v="5"/>
    <x v="6"/>
    <x v="2"/>
    <n v="884850"/>
    <x v="15"/>
    <n v="1745"/>
    <x v="0"/>
    <n v="17.64"/>
    <n v="8.1999999999999993"/>
    <x v="17"/>
    <n v="443729"/>
    <n v="146046"/>
    <x v="1"/>
    <n v="12220"/>
    <n v="507.076217765043"/>
    <s v="Low"/>
    <n v="0.33347233994462339"/>
    <n v="0.5014736961066848"/>
    <n v="0.1650517036785896"/>
    <s v="Excellent"/>
  </r>
  <r>
    <x v="9"/>
    <x v="1"/>
    <x v="6"/>
    <n v="658649"/>
    <x v="16"/>
    <n v="1820"/>
    <x v="0"/>
    <n v="20.43"/>
    <n v="7.06"/>
    <x v="18"/>
    <n v="312010"/>
    <n v="91846"/>
    <x v="0"/>
    <n v="22740"/>
    <n v="361.89450549450549"/>
    <s v="Low"/>
    <n v="0.38684033529239398"/>
    <n v="0.47371209855325069"/>
    <n v="0.13944604789500933"/>
    <s v="Good"/>
  </r>
  <r>
    <x v="5"/>
    <x v="0"/>
    <x v="8"/>
    <n v="232496"/>
    <x v="4"/>
    <n v="468"/>
    <x v="3"/>
    <n v="4.04"/>
    <n v="8.74"/>
    <x v="19"/>
    <n v="92696"/>
    <n v="51443"/>
    <x v="0"/>
    <n v="19358"/>
    <n v="496.78205128205127"/>
    <s v="Low"/>
    <n v="0.38002804349322139"/>
    <n v="0.39869933246163375"/>
    <n v="0.2212640217466107"/>
    <s v="Excellent"/>
  </r>
  <r>
    <x v="1"/>
    <x v="0"/>
    <x v="6"/>
    <n v="586328"/>
    <x v="15"/>
    <n v="2340"/>
    <x v="2"/>
    <n v="2.69"/>
    <n v="8.99"/>
    <x v="20"/>
    <n v="236155"/>
    <n v="105522"/>
    <x v="0"/>
    <n v="16480"/>
    <n v="250.56709401709401"/>
    <s v="Low"/>
    <n v="0.41725791707030879"/>
    <n v="0.40276943963105977"/>
    <n v="0.17997093776862097"/>
    <s v="Excellent"/>
  </r>
  <r>
    <x v="7"/>
    <x v="5"/>
    <x v="2"/>
    <n v="307776"/>
    <x v="13"/>
    <n v="570"/>
    <x v="2"/>
    <n v="4.75"/>
    <n v="7.31"/>
    <x v="21"/>
    <n v="125263"/>
    <n v="76821"/>
    <x v="0"/>
    <n v="24969"/>
    <n v="539.95614035087715"/>
    <s v="Low"/>
    <n v="0.34340234456227908"/>
    <n v="0.40699404761904762"/>
    <n v="0.24960035870243294"/>
    <s v="Good"/>
  </r>
  <r>
    <x v="8"/>
    <x v="4"/>
    <x v="4"/>
    <n v="525660"/>
    <x v="8"/>
    <n v="1030"/>
    <x v="2"/>
    <n v="23.69"/>
    <n v="8.69"/>
    <x v="22"/>
    <n v="290322"/>
    <n v="79555"/>
    <x v="1"/>
    <n v="15824"/>
    <n v="510.34854368932037"/>
    <s v="Low"/>
    <n v="0.29635505840276988"/>
    <n v="0.55229996575733364"/>
    <n v="0.15134307346954304"/>
    <s v="Excellent"/>
  </r>
  <r>
    <x v="5"/>
    <x v="6"/>
    <x v="3"/>
    <n v="229764"/>
    <x v="17"/>
    <n v="1701"/>
    <x v="3"/>
    <n v="19.22"/>
    <n v="7.44"/>
    <x v="23"/>
    <n v="100743"/>
    <n v="36234"/>
    <x v="1"/>
    <n v="19583"/>
    <n v="135.07466196355085"/>
    <s v="Low"/>
    <n v="0.40382740551174251"/>
    <n v="0.43846294458661933"/>
    <n v="0.15770094531780435"/>
    <s v="Good"/>
  </r>
  <r>
    <x v="8"/>
    <x v="5"/>
    <x v="8"/>
    <n v="205271"/>
    <x v="18"/>
    <n v="785"/>
    <x v="2"/>
    <n v="17.07"/>
    <n v="7.17"/>
    <x v="24"/>
    <n v="76195"/>
    <n v="31358"/>
    <x v="2"/>
    <n v="11277"/>
    <n v="261.48917197452232"/>
    <s v="Low"/>
    <n v="0.47603412074769452"/>
    <n v="0.37119222880971986"/>
    <n v="0.15276390722508293"/>
    <s v="Good"/>
  </r>
  <r>
    <x v="9"/>
    <x v="0"/>
    <x v="1"/>
    <n v="190673"/>
    <x v="0"/>
    <n v="2425"/>
    <x v="3"/>
    <n v="18.41"/>
    <n v="9.84"/>
    <x v="25"/>
    <n v="92790"/>
    <n v="40170"/>
    <x v="3"/>
    <n v="9176"/>
    <n v="78.627628865979375"/>
    <s v="Low"/>
    <n v="0.30267526078679202"/>
    <n v="0.48664467439018633"/>
    <n v="0.21067482024198497"/>
    <s v="Excellent"/>
  </r>
  <r>
    <x v="9"/>
    <x v="6"/>
    <x v="8"/>
    <n v="87957"/>
    <x v="11"/>
    <n v="1891"/>
    <x v="0"/>
    <n v="31.61"/>
    <n v="8"/>
    <x v="26"/>
    <n v="35510"/>
    <n v="10966"/>
    <x v="0"/>
    <n v="12087"/>
    <n v="46.512427287149656"/>
    <s v="Low"/>
    <n v="0.47158270518548834"/>
    <n v="0.40371999954523236"/>
    <n v="0.12467455688575099"/>
    <s v="Excellent"/>
  </r>
  <r>
    <x v="2"/>
    <x v="4"/>
    <x v="8"/>
    <n v="156030"/>
    <x v="19"/>
    <n v="2118"/>
    <x v="1"/>
    <n v="13.79"/>
    <n v="8.11"/>
    <x v="27"/>
    <n v="65132"/>
    <n v="20342"/>
    <x v="4"/>
    <n v="17768"/>
    <n v="73.667610953729934"/>
    <s v="Low"/>
    <n v="0.45218227263987693"/>
    <n v="0.41743254502339294"/>
    <n v="0.1303723642889188"/>
    <s v="Excellent"/>
  </r>
  <r>
    <x v="3"/>
    <x v="1"/>
    <x v="0"/>
    <n v="659899"/>
    <x v="9"/>
    <n v="1655"/>
    <x v="1"/>
    <n v="25.85"/>
    <n v="8.19"/>
    <x v="28"/>
    <n v="280828"/>
    <n v="162787"/>
    <x v="0"/>
    <n v="18308"/>
    <n v="398.72990936555891"/>
    <s v="Low"/>
    <n v="0.32775167108906061"/>
    <n v="0.42556209359311048"/>
    <n v="0.24668471993441421"/>
    <s v="Excellent"/>
  </r>
  <r>
    <x v="1"/>
    <x v="4"/>
    <x v="9"/>
    <n v="247214"/>
    <x v="20"/>
    <n v="2265"/>
    <x v="3"/>
    <n v="8.98"/>
    <n v="8.5299999999999994"/>
    <x v="29"/>
    <n v="117726"/>
    <n v="30844"/>
    <x v="2"/>
    <n v="19682"/>
    <n v="109.1448123620309"/>
    <s v="Low"/>
    <n v="0.39901866399152153"/>
    <n v="0.47621089420502077"/>
    <n v="0.12476639672510456"/>
    <s v="Excellent"/>
  </r>
  <r>
    <x v="4"/>
    <x v="6"/>
    <x v="7"/>
    <n v="701306"/>
    <x v="21"/>
    <n v="594"/>
    <x v="1"/>
    <n v="13.23"/>
    <n v="7.17"/>
    <x v="30"/>
    <n v="333268"/>
    <n v="157493"/>
    <x v="2"/>
    <n v="18831"/>
    <n v="1180.648148148148"/>
    <s v="Low"/>
    <n v="0.30021702366727221"/>
    <n v="0.47521053577183142"/>
    <n v="0.2245710146498105"/>
    <s v="Good"/>
  </r>
  <r>
    <x v="2"/>
    <x v="0"/>
    <x v="3"/>
    <n v="329896"/>
    <x v="12"/>
    <n v="672"/>
    <x v="0"/>
    <n v="17.09"/>
    <n v="9.81"/>
    <x v="31"/>
    <n v="157924"/>
    <n v="65241"/>
    <x v="1"/>
    <n v="19750"/>
    <n v="490.91517857142856"/>
    <s v="Low"/>
    <n v="0.32352620219705602"/>
    <n v="0.47870844144821401"/>
    <n v="0.19776232509639402"/>
    <s v="Excellent"/>
  </r>
  <r>
    <x v="2"/>
    <x v="1"/>
    <x v="4"/>
    <n v="463488"/>
    <x v="8"/>
    <n v="775"/>
    <x v="2"/>
    <n v="20.64"/>
    <n v="7"/>
    <x v="32"/>
    <n v="211908"/>
    <n v="79958"/>
    <x v="2"/>
    <n v="11839"/>
    <n v="598.04645161290318"/>
    <s v="Low"/>
    <n v="0.37027927368130353"/>
    <n v="0.45720277547638771"/>
    <n v="0.17251363573598452"/>
    <s v="Good"/>
  </r>
  <r>
    <x v="7"/>
    <x v="0"/>
    <x v="5"/>
    <n v="346549"/>
    <x v="22"/>
    <n v="1957"/>
    <x v="2"/>
    <n v="11.08"/>
    <n v="7.92"/>
    <x v="33"/>
    <n v="151631"/>
    <n v="84045"/>
    <x v="4"/>
    <n v="15231"/>
    <n v="177.08124680633622"/>
    <s v="Low"/>
    <n v="0.31993166911461296"/>
    <n v="0.43754562846812428"/>
    <n v="0.2425198168224407"/>
    <s v="Good"/>
  </r>
  <r>
    <x v="6"/>
    <x v="6"/>
    <x v="6"/>
    <n v="107865"/>
    <x v="17"/>
    <n v="1626"/>
    <x v="1"/>
    <n v="25.78"/>
    <n v="5.04"/>
    <x v="34"/>
    <n v="47959"/>
    <n v="15833"/>
    <x v="4"/>
    <n v="9997"/>
    <n v="66.336408364083638"/>
    <s v="Low"/>
    <n v="0.40857553423260556"/>
    <n v="0.44462059055300607"/>
    <n v="0.14678533351875028"/>
    <s v="Good"/>
  </r>
  <r>
    <x v="8"/>
    <x v="0"/>
    <x v="3"/>
    <n v="675222"/>
    <x v="0"/>
    <n v="2478"/>
    <x v="1"/>
    <n v="24.43"/>
    <n v="7.85"/>
    <x v="35"/>
    <n v="291319"/>
    <n v="161499"/>
    <x v="4"/>
    <n v="14834"/>
    <n v="272.4858757062147"/>
    <s v="Low"/>
    <n v="0.32937611629952818"/>
    <n v="0.43144180728708487"/>
    <n v="0.23917911442458925"/>
    <s v="Good"/>
  </r>
  <r>
    <x v="4"/>
    <x v="3"/>
    <x v="4"/>
    <n v="169176"/>
    <x v="23"/>
    <n v="533"/>
    <x v="3"/>
    <n v="34.68"/>
    <n v="7.92"/>
    <x v="36"/>
    <n v="78309"/>
    <n v="24956"/>
    <x v="4"/>
    <n v="9526"/>
    <n v="317.39962476547845"/>
    <s v="Low"/>
    <n v="0.3895883576866695"/>
    <n v="0.46288480635551144"/>
    <n v="0.14751501394996927"/>
    <s v="Good"/>
  </r>
  <r>
    <x v="4"/>
    <x v="0"/>
    <x v="8"/>
    <n v="244461"/>
    <x v="19"/>
    <n v="2224"/>
    <x v="3"/>
    <n v="2.38"/>
    <n v="7.09"/>
    <x v="37"/>
    <n v="105908"/>
    <n v="35777"/>
    <x v="4"/>
    <n v="11052"/>
    <n v="109.91861510791367"/>
    <s v="Low"/>
    <n v="0.42041061764453225"/>
    <n v="0.43323065846904008"/>
    <n v="0.14635054262234057"/>
    <s v="Good"/>
  </r>
  <r>
    <x v="7"/>
    <x v="6"/>
    <x v="0"/>
    <n v="384567"/>
    <x v="24"/>
    <n v="2206"/>
    <x v="3"/>
    <n v="22.8"/>
    <n v="8"/>
    <x v="38"/>
    <n v="197277"/>
    <n v="81684"/>
    <x v="4"/>
    <n v="16890"/>
    <n v="174.32728921124206"/>
    <s v="Low"/>
    <n v="0.27460754562924017"/>
    <n v="0.51298473347947171"/>
    <n v="0.21240512056416697"/>
    <s v="Excellent"/>
  </r>
  <r>
    <x v="1"/>
    <x v="2"/>
    <x v="2"/>
    <n v="255359"/>
    <x v="25"/>
    <n v="2069"/>
    <x v="1"/>
    <n v="34.71"/>
    <n v="9.5399999999999991"/>
    <x v="39"/>
    <n v="101709"/>
    <n v="61923"/>
    <x v="0"/>
    <n v="16299"/>
    <n v="123.42097631706139"/>
    <s v="Low"/>
    <n v="0.35920410089325222"/>
    <n v="0.39829808230765312"/>
    <n v="0.24249390074365892"/>
    <s v="Excellent"/>
  </r>
  <r>
    <x v="5"/>
    <x v="0"/>
    <x v="2"/>
    <n v="310667"/>
    <x v="26"/>
    <n v="466"/>
    <x v="3"/>
    <n v="27.57"/>
    <n v="8.7100000000000009"/>
    <x v="40"/>
    <n v="136199"/>
    <n v="66081"/>
    <x v="1"/>
    <n v="10210"/>
    <n v="666.66523605150212"/>
    <s v="Low"/>
    <n v="0.34888159991244644"/>
    <n v="0.43840832788806022"/>
    <n v="0.21270685331882691"/>
    <s v="Excellent"/>
  </r>
  <r>
    <x v="6"/>
    <x v="6"/>
    <x v="1"/>
    <n v="331582"/>
    <x v="2"/>
    <n v="2248"/>
    <x v="2"/>
    <n v="11.86"/>
    <n v="7.39"/>
    <x v="41"/>
    <n v="137225"/>
    <n v="60581"/>
    <x v="2"/>
    <n v="20429"/>
    <n v="147.50044483985766"/>
    <s v="Low"/>
    <n v="0.40344469844563335"/>
    <n v="0.41384936456140564"/>
    <n v="0.18270292114771006"/>
    <s v="Good"/>
  </r>
  <r>
    <x v="9"/>
    <x v="2"/>
    <x v="9"/>
    <n v="668796"/>
    <x v="2"/>
    <n v="1704"/>
    <x v="3"/>
    <n v="14.69"/>
    <n v="9.16"/>
    <x v="42"/>
    <n v="273002"/>
    <n v="80004"/>
    <x v="0"/>
    <n v="19582"/>
    <n v="392.48532863849766"/>
    <s v="Low"/>
    <n v="0.47217537186227193"/>
    <n v="0.40819921171777346"/>
    <n v="0.11962392119570094"/>
    <s v="Excellent"/>
  </r>
  <r>
    <x v="9"/>
    <x v="6"/>
    <x v="3"/>
    <n v="259470"/>
    <x v="19"/>
    <n v="1366"/>
    <x v="3"/>
    <n v="30.81"/>
    <n v="7.19"/>
    <x v="43"/>
    <n v="117716"/>
    <n v="58900"/>
    <x v="1"/>
    <n v="12234"/>
    <n v="189.9480234260615"/>
    <s v="Low"/>
    <n v="0.31931629860870236"/>
    <n v="0.45367865263806989"/>
    <n v="0.22700119474313021"/>
    <s v="Good"/>
  </r>
  <r>
    <x v="4"/>
    <x v="2"/>
    <x v="2"/>
    <n v="169135"/>
    <x v="15"/>
    <n v="1321"/>
    <x v="2"/>
    <n v="12.76"/>
    <n v="6.69"/>
    <x v="44"/>
    <n v="57502"/>
    <n v="31639"/>
    <x v="0"/>
    <n v="21892"/>
    <n v="128.03482210446631"/>
    <s v="Low"/>
    <n v="0.4729535578088509"/>
    <n v="0.33997694149643776"/>
    <n v="0.18706358825790048"/>
    <s v="Good"/>
  </r>
  <r>
    <x v="9"/>
    <x v="3"/>
    <x v="1"/>
    <n v="155393"/>
    <x v="27"/>
    <n v="1794"/>
    <x v="1"/>
    <n v="32.200000000000003"/>
    <n v="5.73"/>
    <x v="45"/>
    <n v="80606"/>
    <n v="18754"/>
    <x v="1"/>
    <n v="14328"/>
    <n v="86.617614269788177"/>
    <s v="Low"/>
    <n v="0.36058252302227256"/>
    <n v="0.51872349462330991"/>
    <n v="0.12068754705810429"/>
    <s v="Good"/>
  </r>
  <r>
    <x v="9"/>
    <x v="0"/>
    <x v="7"/>
    <n v="889429"/>
    <x v="11"/>
    <n v="527"/>
    <x v="2"/>
    <n v="22.77"/>
    <n v="6.09"/>
    <x v="46"/>
    <n v="307119"/>
    <n v="197862"/>
    <x v="1"/>
    <n v="24413"/>
    <n v="1687.719165085389"/>
    <s v="Low"/>
    <n v="0.43224023502719161"/>
    <n v="0.34529906265705301"/>
    <n v="0.22245957799891841"/>
    <s v="Good"/>
  </r>
  <r>
    <x v="5"/>
    <x v="2"/>
    <x v="2"/>
    <n v="638382"/>
    <x v="28"/>
    <n v="1414"/>
    <x v="2"/>
    <n v="22.74"/>
    <n v="5.89"/>
    <x v="47"/>
    <n v="321889"/>
    <n v="82521"/>
    <x v="2"/>
    <n v="21871"/>
    <n v="451.47171145685996"/>
    <s v="Low"/>
    <n v="0.36650626114144824"/>
    <n v="0.50422630963905624"/>
    <n v="0.12926586275928834"/>
    <s v="Good"/>
  </r>
  <r>
    <x v="7"/>
    <x v="5"/>
    <x v="9"/>
    <n v="61178"/>
    <x v="9"/>
    <n v="737"/>
    <x v="1"/>
    <n v="14.71"/>
    <n v="8.5"/>
    <x v="48"/>
    <n v="29478"/>
    <n v="13412"/>
    <x v="4"/>
    <n v="16346"/>
    <n v="83.006784260515602"/>
    <s v="Low"/>
    <n v="0.29889829677334989"/>
    <n v="0.48183987707999609"/>
    <n v="0.21922913465624899"/>
    <s v="Excellent"/>
  </r>
  <r>
    <x v="0"/>
    <x v="5"/>
    <x v="4"/>
    <n v="821917"/>
    <x v="29"/>
    <n v="2388"/>
    <x v="0"/>
    <n v="15.92"/>
    <n v="6.34"/>
    <x v="49"/>
    <n v="384916"/>
    <n v="189808"/>
    <x v="1"/>
    <n v="21704"/>
    <n v="344.18551088777218"/>
    <s v="Low"/>
    <n v="0.30074934573685663"/>
    <n v="0.46831492717634504"/>
    <n v="0.23093329375107219"/>
    <s v="Good"/>
  </r>
  <r>
    <x v="9"/>
    <x v="1"/>
    <x v="2"/>
    <n v="416859"/>
    <x v="21"/>
    <n v="1145"/>
    <x v="3"/>
    <n v="14.04"/>
    <n v="5.47"/>
    <x v="50"/>
    <n v="183522"/>
    <n v="87879"/>
    <x v="3"/>
    <n v="11788"/>
    <n v="364.06812227074238"/>
    <s v="Low"/>
    <n v="0.34893573126644739"/>
    <n v="0.44024958079350573"/>
    <n v="0.21081228904737573"/>
    <s v="Good"/>
  </r>
  <r>
    <x v="3"/>
    <x v="4"/>
    <x v="6"/>
    <n v="189280"/>
    <x v="30"/>
    <n v="616"/>
    <x v="2"/>
    <n v="1.53"/>
    <n v="7.67"/>
    <x v="51"/>
    <n v="79599"/>
    <n v="42663"/>
    <x v="1"/>
    <n v="21894"/>
    <n v="307.26948051948051"/>
    <s v="Low"/>
    <n v="0.35405748098055789"/>
    <n v="0.42053571428571429"/>
    <n v="0.22539623837700762"/>
    <s v="Good"/>
  </r>
  <r>
    <x v="5"/>
    <x v="6"/>
    <x v="5"/>
    <n v="355426"/>
    <x v="30"/>
    <n v="1474"/>
    <x v="3"/>
    <n v="7.22"/>
    <n v="9.59"/>
    <x v="52"/>
    <n v="150531"/>
    <n v="78639"/>
    <x v="4"/>
    <n v="16903"/>
    <n v="241.12890094979647"/>
    <s v="Low"/>
    <n v="0.3552188078531115"/>
    <n v="0.42352275860516675"/>
    <n v="0.22125280649136528"/>
    <s v="Excellent"/>
  </r>
  <r>
    <x v="0"/>
    <x v="3"/>
    <x v="1"/>
    <n v="535485"/>
    <x v="31"/>
    <n v="1555"/>
    <x v="1"/>
    <n v="15.23"/>
    <n v="6.44"/>
    <x v="53"/>
    <n v="240150"/>
    <n v="105864"/>
    <x v="2"/>
    <n v="24110"/>
    <n v="344.36270096463022"/>
    <s v="Low"/>
    <n v="0.3538287720477698"/>
    <n v="0.44847194599288498"/>
    <n v="0.19769741449340317"/>
    <s v="Good"/>
  </r>
  <r>
    <x v="9"/>
    <x v="6"/>
    <x v="7"/>
    <n v="452559"/>
    <x v="32"/>
    <n v="1970"/>
    <x v="3"/>
    <n v="33.85"/>
    <n v="8.1199999999999992"/>
    <x v="54"/>
    <n v="188067"/>
    <n v="81633"/>
    <x v="4"/>
    <n v="24192"/>
    <n v="229.72436548223351"/>
    <s v="Low"/>
    <n v="0.40405118448644267"/>
    <n v="0.41556349558842054"/>
    <n v="0.18038090061185391"/>
    <s v="Excellent"/>
  </r>
  <r>
    <x v="9"/>
    <x v="6"/>
    <x v="0"/>
    <n v="248346"/>
    <x v="33"/>
    <n v="963"/>
    <x v="1"/>
    <n v="20.81"/>
    <n v="8.73"/>
    <x v="55"/>
    <n v="118699"/>
    <n v="59300"/>
    <x v="0"/>
    <n v="21428"/>
    <n v="257.88577362409137"/>
    <s v="Low"/>
    <n v="0.28325400852037075"/>
    <n v="0.47795817126106321"/>
    <n v="0.23877976693806222"/>
    <s v="Excellent"/>
  </r>
  <r>
    <x v="9"/>
    <x v="4"/>
    <x v="5"/>
    <n v="862958"/>
    <x v="1"/>
    <n v="1664"/>
    <x v="2"/>
    <n v="21.46"/>
    <n v="6.67"/>
    <x v="56"/>
    <n v="378744"/>
    <n v="124230"/>
    <x v="4"/>
    <n v="17659"/>
    <n v="518.60396634615381"/>
    <s v="Low"/>
    <n v="0.4171500814639878"/>
    <n v="0.43889042108654186"/>
    <n v="0.14395833864452268"/>
    <s v="Good"/>
  </r>
  <r>
    <x v="2"/>
    <x v="1"/>
    <x v="4"/>
    <n v="399486"/>
    <x v="34"/>
    <n v="2366"/>
    <x v="0"/>
    <n v="13.73"/>
    <n v="8.41"/>
    <x v="57"/>
    <n v="195266"/>
    <n v="79020"/>
    <x v="1"/>
    <n v="13882"/>
    <n v="168.84404057480981"/>
    <s v="Low"/>
    <n v="0.31340021928177708"/>
    <n v="0.48879309913238511"/>
    <n v="0.19780417836920441"/>
    <s v="Excellent"/>
  </r>
  <r>
    <x v="2"/>
    <x v="2"/>
    <x v="3"/>
    <n v="275282"/>
    <x v="18"/>
    <n v="2279"/>
    <x v="3"/>
    <n v="27.59"/>
    <n v="8.6999999999999993"/>
    <x v="58"/>
    <n v="117925"/>
    <n v="38035"/>
    <x v="3"/>
    <n v="8181"/>
    <n v="120.78982009653356"/>
    <s v="Low"/>
    <n v="0.43344642947958822"/>
    <n v="0.42837889872930301"/>
    <n v="0.13816740651404741"/>
    <s v="Excellent"/>
  </r>
  <r>
    <x v="9"/>
    <x v="5"/>
    <x v="0"/>
    <n v="548303"/>
    <x v="0"/>
    <n v="432"/>
    <x v="2"/>
    <n v="13.81"/>
    <n v="9.44"/>
    <x v="59"/>
    <n v="219312"/>
    <n v="119104"/>
    <x v="1"/>
    <n v="22305"/>
    <n v="1269.2152777777778"/>
    <s v="Low"/>
    <n v="0.38279017258705494"/>
    <n v="0.39998322095629607"/>
    <n v="0.21722295883845247"/>
    <s v="Excellent"/>
  </r>
  <r>
    <x v="2"/>
    <x v="5"/>
    <x v="5"/>
    <n v="688930"/>
    <x v="29"/>
    <n v="540"/>
    <x v="2"/>
    <n v="10.89"/>
    <n v="9.7200000000000006"/>
    <x v="60"/>
    <n v="298487"/>
    <n v="130448"/>
    <x v="3"/>
    <n v="23355"/>
    <n v="1275.7925925925927"/>
    <s v="Low"/>
    <n v="0.37738667208569809"/>
    <n v="0.43326172470352575"/>
    <n v="0.18934870015821637"/>
    <s v="Excellent"/>
  </r>
  <r>
    <x v="1"/>
    <x v="2"/>
    <x v="0"/>
    <n v="218826"/>
    <x v="33"/>
    <n v="640"/>
    <x v="0"/>
    <n v="8.6"/>
    <n v="9.89"/>
    <x v="61"/>
    <n v="91424"/>
    <n v="47108"/>
    <x v="4"/>
    <n v="14819"/>
    <n v="341.9140625"/>
    <s v="Low"/>
    <n v="0.36692623362854504"/>
    <n v="0.41779313244312832"/>
    <n v="0.21527606408744848"/>
    <s v="Excellent"/>
  </r>
  <r>
    <x v="5"/>
    <x v="6"/>
    <x v="8"/>
    <n v="288578"/>
    <x v="35"/>
    <n v="301"/>
    <x v="0"/>
    <n v="15.56"/>
    <n v="5.35"/>
    <x v="62"/>
    <n v="146051"/>
    <n v="54716"/>
    <x v="3"/>
    <n v="9652"/>
    <n v="958.7242524916943"/>
    <s v="Low"/>
    <n v="0.30428168467450739"/>
    <n v="0.50610580155105378"/>
    <n v="0.18960558323919358"/>
    <s v="Good"/>
  </r>
  <r>
    <x v="0"/>
    <x v="4"/>
    <x v="6"/>
    <n v="422459"/>
    <x v="10"/>
    <n v="2379"/>
    <x v="3"/>
    <n v="20.51"/>
    <n v="8.44"/>
    <x v="63"/>
    <n v="212855"/>
    <n v="65360"/>
    <x v="2"/>
    <n v="15706"/>
    <n v="177.57755359394704"/>
    <s v="Low"/>
    <n v="0.34143431670292262"/>
    <n v="0.50384771066541367"/>
    <n v="0.15471323844444076"/>
    <s v="Excellent"/>
  </r>
  <r>
    <x v="8"/>
    <x v="5"/>
    <x v="3"/>
    <n v="144529"/>
    <x v="7"/>
    <n v="1802"/>
    <x v="0"/>
    <n v="33.43"/>
    <n v="9.99"/>
    <x v="64"/>
    <n v="76857"/>
    <n v="26150"/>
    <x v="3"/>
    <n v="23422"/>
    <n v="80.204217536071027"/>
    <s v="Low"/>
    <n v="0.28728490475959845"/>
    <n v="0.53177562980439907"/>
    <n v="0.18093254640937112"/>
    <s v="Excellent"/>
  </r>
  <r>
    <x v="7"/>
    <x v="5"/>
    <x v="3"/>
    <n v="113498"/>
    <x v="20"/>
    <n v="860"/>
    <x v="1"/>
    <n v="11.6"/>
    <n v="7.85"/>
    <x v="65"/>
    <n v="47310"/>
    <n v="25683"/>
    <x v="1"/>
    <n v="17931"/>
    <n v="131.9732558139535"/>
    <s v="Low"/>
    <n v="0.35686972457664451"/>
    <n v="0.41683553895222825"/>
    <n v="0.2262859257431849"/>
    <s v="Good"/>
  </r>
  <r>
    <x v="2"/>
    <x v="6"/>
    <x v="4"/>
    <n v="247603"/>
    <x v="1"/>
    <n v="1156"/>
    <x v="2"/>
    <n v="14.7"/>
    <n v="7.75"/>
    <x v="66"/>
    <n v="118901"/>
    <n v="34662"/>
    <x v="3"/>
    <n v="23703"/>
    <n v="214.18771626297578"/>
    <s v="Low"/>
    <n v="0.37979345969152234"/>
    <n v="0.48020823657225475"/>
    <n v="0.13999022628966531"/>
    <s v="Good"/>
  </r>
  <r>
    <x v="9"/>
    <x v="5"/>
    <x v="8"/>
    <n v="741045"/>
    <x v="26"/>
    <n v="1073"/>
    <x v="3"/>
    <n v="10.88"/>
    <n v="6.27"/>
    <x v="67"/>
    <n v="369067"/>
    <n v="119654"/>
    <x v="4"/>
    <n v="12168"/>
    <n v="690.62814538676605"/>
    <s v="Low"/>
    <n v="0.34049619118946894"/>
    <n v="0.49803588176156643"/>
    <n v="0.16146657760324948"/>
    <s v="Good"/>
  </r>
  <r>
    <x v="0"/>
    <x v="4"/>
    <x v="5"/>
    <n v="517684"/>
    <x v="5"/>
    <n v="1043"/>
    <x v="3"/>
    <n v="23.98"/>
    <n v="9.9"/>
    <x v="68"/>
    <n v="192392"/>
    <n v="120178"/>
    <x v="2"/>
    <n v="10591"/>
    <n v="496.34036433365293"/>
    <s v="Low"/>
    <n v="0.39621274754483432"/>
    <n v="0.37163984206581624"/>
    <n v="0.23214547870901941"/>
    <s v="Excellent"/>
  </r>
  <r>
    <x v="0"/>
    <x v="5"/>
    <x v="3"/>
    <n v="522602"/>
    <x v="36"/>
    <n v="1742"/>
    <x v="1"/>
    <n v="23.75"/>
    <n v="5.99"/>
    <x v="69"/>
    <n v="222857"/>
    <n v="85689"/>
    <x v="0"/>
    <n v="17768"/>
    <n v="300"/>
    <s v="Low"/>
    <n v="0.4095927684930406"/>
    <n v="0.42643732706725196"/>
    <n v="0.1639660774356011"/>
    <s v="Good"/>
  </r>
  <r>
    <x v="2"/>
    <x v="5"/>
    <x v="5"/>
    <n v="175064"/>
    <x v="22"/>
    <n v="622"/>
    <x v="2"/>
    <n v="33.18"/>
    <n v="7.87"/>
    <x v="70"/>
    <n v="63156"/>
    <n v="40134"/>
    <x v="3"/>
    <n v="15215"/>
    <n v="281.45016077170419"/>
    <s v="Low"/>
    <n v="0.40997578028606679"/>
    <n v="0.36075949367088606"/>
    <n v="0.22925330164968241"/>
    <s v="Good"/>
  </r>
  <r>
    <x v="4"/>
    <x v="4"/>
    <x v="5"/>
    <n v="855564"/>
    <x v="7"/>
    <n v="506"/>
    <x v="0"/>
    <n v="7.86"/>
    <n v="8.99"/>
    <x v="71"/>
    <n v="405671"/>
    <n v="156332"/>
    <x v="0"/>
    <n v="9552"/>
    <n v="1690.8359683794467"/>
    <s v="Low"/>
    <n v="0.34311869129603395"/>
    <n v="0.47415622910734906"/>
    <n v="0.18272391077698455"/>
    <s v="Excellent"/>
  </r>
  <r>
    <x v="1"/>
    <x v="0"/>
    <x v="4"/>
    <n v="423026"/>
    <x v="2"/>
    <n v="2258"/>
    <x v="0"/>
    <n v="4.3499999999999996"/>
    <n v="6.03"/>
    <x v="72"/>
    <n v="192021"/>
    <n v="63367"/>
    <x v="0"/>
    <n v="17697"/>
    <n v="187.34455270150576"/>
    <s v="Low"/>
    <n v="0.39627824294487807"/>
    <n v="0.45392245393900138"/>
    <n v="0.14979457527433301"/>
    <s v="Good"/>
  </r>
  <r>
    <x v="5"/>
    <x v="6"/>
    <x v="3"/>
    <n v="466985"/>
    <x v="10"/>
    <n v="1548"/>
    <x v="0"/>
    <n v="17.45"/>
    <n v="6.18"/>
    <x v="73"/>
    <n v="194945"/>
    <n v="103203"/>
    <x v="3"/>
    <n v="17812"/>
    <n v="301.66860465116281"/>
    <s v="Low"/>
    <n v="0.36154266196987056"/>
    <n v="0.41745452209385742"/>
    <n v="0.22099853314346285"/>
    <s v="Good"/>
  </r>
  <r>
    <x v="8"/>
    <x v="3"/>
    <x v="4"/>
    <n v="154962"/>
    <x v="33"/>
    <n v="2167"/>
    <x v="1"/>
    <n v="31.74"/>
    <n v="8.89"/>
    <x v="74"/>
    <n v="66532"/>
    <n v="35255"/>
    <x v="3"/>
    <n v="19165"/>
    <n v="71.509460083064141"/>
    <s v="Low"/>
    <n v="0.34314218969811955"/>
    <n v="0.42934396819865517"/>
    <n v="0.22750738890824848"/>
    <s v="Excellent"/>
  </r>
  <r>
    <x v="7"/>
    <x v="5"/>
    <x v="1"/>
    <n v="461929"/>
    <x v="35"/>
    <n v="723"/>
    <x v="2"/>
    <n v="11.04"/>
    <n v="7.84"/>
    <x v="75"/>
    <n v="198864"/>
    <n v="69570"/>
    <x v="3"/>
    <n v="8489"/>
    <n v="638.90318118948824"/>
    <s v="Low"/>
    <n v="0.41888039070939476"/>
    <n v="0.43050771871867755"/>
    <n v="0.15060756090221658"/>
    <s v="Good"/>
  </r>
  <r>
    <x v="7"/>
    <x v="5"/>
    <x v="6"/>
    <n v="129639"/>
    <x v="0"/>
    <n v="1490"/>
    <x v="1"/>
    <n v="13.63"/>
    <n v="7.67"/>
    <x v="76"/>
    <n v="56118"/>
    <n v="14133"/>
    <x v="0"/>
    <n v="16241"/>
    <n v="87.005369127516772"/>
    <s v="Low"/>
    <n v="0.45809517197756849"/>
    <n v="0.43287899474695113"/>
    <n v="0.10901811954735843"/>
    <s v="Good"/>
  </r>
  <r>
    <x v="5"/>
    <x v="5"/>
    <x v="2"/>
    <n v="84790"/>
    <x v="37"/>
    <n v="1070"/>
    <x v="2"/>
    <n v="32"/>
    <n v="6.57"/>
    <x v="77"/>
    <n v="39910"/>
    <n v="13468"/>
    <x v="1"/>
    <n v="22056"/>
    <n v="79.242056074766353"/>
    <s v="Low"/>
    <n v="0.3704564217478476"/>
    <n v="0.4706922986201203"/>
    <n v="0.15883948578841844"/>
    <s v="Good"/>
  </r>
  <r>
    <x v="3"/>
    <x v="0"/>
    <x v="7"/>
    <n v="167657"/>
    <x v="32"/>
    <n v="1121"/>
    <x v="3"/>
    <n v="24.22"/>
    <n v="6.58"/>
    <x v="78"/>
    <n v="63504"/>
    <n v="40750"/>
    <x v="1"/>
    <n v="20263"/>
    <n v="149.5593220338983"/>
    <s v="Low"/>
    <n v="0.37816494390332644"/>
    <n v="0.37877332887979626"/>
    <n v="0.24305576265828446"/>
    <s v="Good"/>
  </r>
  <r>
    <x v="0"/>
    <x v="5"/>
    <x v="0"/>
    <n v="802964"/>
    <x v="18"/>
    <n v="976"/>
    <x v="3"/>
    <n v="30.21"/>
    <n v="9.77"/>
    <x v="79"/>
    <n v="384842"/>
    <n v="159451"/>
    <x v="3"/>
    <n v="18077"/>
    <n v="822.70799180327867"/>
    <s v="Low"/>
    <n v="0.32214395664064638"/>
    <n v="0.47927677953183456"/>
    <n v="0.19857801844167361"/>
    <s v="Excellent"/>
  </r>
  <r>
    <x v="0"/>
    <x v="5"/>
    <x v="7"/>
    <n v="375721"/>
    <x v="7"/>
    <n v="1456"/>
    <x v="1"/>
    <n v="25.64"/>
    <n v="6.22"/>
    <x v="80"/>
    <n v="146066"/>
    <n v="68264"/>
    <x v="4"/>
    <n v="13504"/>
    <n v="258.04876373626371"/>
    <s v="Low"/>
    <n v="0.42954479520708183"/>
    <n v="0.38876187383723559"/>
    <n v="0.18168800785689382"/>
    <s v="Good"/>
  </r>
  <r>
    <x v="8"/>
    <x v="0"/>
    <x v="2"/>
    <n v="324851"/>
    <x v="38"/>
    <n v="580"/>
    <x v="0"/>
    <n v="9.5500000000000007"/>
    <n v="6.83"/>
    <x v="81"/>
    <n v="119569"/>
    <n v="62354"/>
    <x v="3"/>
    <n v="9275"/>
    <n v="560.08620689655174"/>
    <s v="Low"/>
    <n v="0.4399770971922512"/>
    <n v="0.36807336286482112"/>
    <n v="0.19194646160855283"/>
    <s v="Good"/>
  </r>
  <r>
    <x v="8"/>
    <x v="5"/>
    <x v="8"/>
    <n v="392852"/>
    <x v="31"/>
    <n v="978"/>
    <x v="1"/>
    <n v="32.61"/>
    <n v="7.22"/>
    <x v="82"/>
    <n v="183571"/>
    <n v="50292"/>
    <x v="1"/>
    <n v="19126"/>
    <n v="401.68813905930472"/>
    <s v="Low"/>
    <n v="0.40470202519014792"/>
    <n v="0.46727775345422706"/>
    <n v="0.12801767586775681"/>
    <s v="Good"/>
  </r>
  <r>
    <x v="4"/>
    <x v="4"/>
    <x v="0"/>
    <n v="730089"/>
    <x v="39"/>
    <n v="1554"/>
    <x v="3"/>
    <n v="8.36"/>
    <n v="8.49"/>
    <x v="83"/>
    <n v="347538"/>
    <n v="85119"/>
    <x v="2"/>
    <n v="24653"/>
    <n v="469.81145431145433"/>
    <s v="Low"/>
    <n v="0.40738868822842145"/>
    <n v="0.47602141656702129"/>
    <n v="0.11658715581251053"/>
    <s v="Excellent"/>
  </r>
  <r>
    <x v="3"/>
    <x v="4"/>
    <x v="7"/>
    <n v="831573"/>
    <x v="31"/>
    <n v="2161"/>
    <x v="0"/>
    <n v="8.68"/>
    <n v="5.25"/>
    <x v="84"/>
    <n v="439729"/>
    <n v="165869"/>
    <x v="1"/>
    <n v="20776"/>
    <n v="384.80888477556687"/>
    <s v="Low"/>
    <n v="0.27174282955314805"/>
    <n v="0.52879181984023049"/>
    <n v="0.19946414806637541"/>
    <s v="Good"/>
  </r>
  <r>
    <x v="7"/>
    <x v="6"/>
    <x v="2"/>
    <n v="699306"/>
    <x v="20"/>
    <n v="2348"/>
    <x v="3"/>
    <n v="29.1"/>
    <n v="5.12"/>
    <x v="85"/>
    <n v="247113"/>
    <n v="158703"/>
    <x v="3"/>
    <n v="24205"/>
    <n v="297.82964224872234"/>
    <s v="Low"/>
    <n v="0.41968465879028638"/>
    <n v="0.35336891146365113"/>
    <n v="0.22694356976774116"/>
    <s v="Good"/>
  </r>
  <r>
    <x v="7"/>
    <x v="4"/>
    <x v="7"/>
    <n v="219974"/>
    <x v="8"/>
    <n v="1611"/>
    <x v="1"/>
    <n v="23.3"/>
    <n v="6.07"/>
    <x v="86"/>
    <n v="100109"/>
    <n v="39308"/>
    <x v="3"/>
    <n v="16565"/>
    <n v="136.54438237119803"/>
    <s v="Low"/>
    <n v="0.36620691536272471"/>
    <n v="0.45509469300917382"/>
    <n v="0.17869384563630247"/>
    <s v="Good"/>
  </r>
  <r>
    <x v="6"/>
    <x v="2"/>
    <x v="8"/>
    <n v="424535"/>
    <x v="30"/>
    <n v="584"/>
    <x v="2"/>
    <n v="24.8"/>
    <n v="5.43"/>
    <x v="87"/>
    <n v="143083"/>
    <n v="110461"/>
    <x v="1"/>
    <n v="22146"/>
    <n v="726.94178082191786"/>
    <s v="Low"/>
    <n v="0.40277008962747479"/>
    <n v="0.33703463789793536"/>
    <n v="0.26019291695619912"/>
    <s v="Good"/>
  </r>
  <r>
    <x v="3"/>
    <x v="4"/>
    <x v="5"/>
    <n v="454247"/>
    <x v="17"/>
    <n v="685"/>
    <x v="0"/>
    <n v="5.36"/>
    <n v="8.76"/>
    <x v="88"/>
    <n v="219096"/>
    <n v="83574"/>
    <x v="3"/>
    <n v="8375"/>
    <n v="663.13284671532847"/>
    <s v="Low"/>
    <n v="0.33368629842354491"/>
    <n v="0.48232789649683983"/>
    <n v="0.18398360363414618"/>
    <s v="Excellent"/>
  </r>
  <r>
    <x v="9"/>
    <x v="2"/>
    <x v="2"/>
    <n v="726064"/>
    <x v="40"/>
    <n v="1420"/>
    <x v="3"/>
    <n v="31.57"/>
    <n v="8.27"/>
    <x v="89"/>
    <n v="368343"/>
    <n v="112114"/>
    <x v="4"/>
    <n v="15430"/>
    <n v="511.3119718309859"/>
    <s v="Low"/>
    <n v="0.33827045549703605"/>
    <n v="0.50731478216796311"/>
    <n v="0.15441338504594637"/>
    <s v="Excellent"/>
  </r>
  <r>
    <x v="8"/>
    <x v="3"/>
    <x v="4"/>
    <n v="249543"/>
    <x v="33"/>
    <n v="1731"/>
    <x v="2"/>
    <n v="28.19"/>
    <n v="7.64"/>
    <x v="90"/>
    <n v="116161"/>
    <n v="47570"/>
    <x v="4"/>
    <n v="24631"/>
    <n v="144.16060080878106"/>
    <s v="Low"/>
    <n v="0.34387259911117524"/>
    <n v="0.46549492472239251"/>
    <n v="0.19062846884104143"/>
    <s v="Good"/>
  </r>
  <r>
    <x v="1"/>
    <x v="6"/>
    <x v="4"/>
    <n v="781063"/>
    <x v="36"/>
    <n v="1921"/>
    <x v="3"/>
    <n v="12.82"/>
    <n v="9.02"/>
    <x v="91"/>
    <n v="328462"/>
    <n v="126290"/>
    <x v="0"/>
    <n v="12878"/>
    <n v="406.59083810515358"/>
    <s v="Low"/>
    <n v="0.41777551874816754"/>
    <n v="0.42053201854395866"/>
    <n v="0.16168990209496545"/>
    <s v="Excellent"/>
  </r>
  <r>
    <x v="0"/>
    <x v="2"/>
    <x v="5"/>
    <n v="446053"/>
    <x v="10"/>
    <n v="800"/>
    <x v="1"/>
    <n v="8.41"/>
    <n v="6.01"/>
    <x v="92"/>
    <n v="163082"/>
    <n v="98357"/>
    <x v="4"/>
    <n v="24738"/>
    <n v="557.56375000000003"/>
    <s v="Low"/>
    <n v="0.41387906818248055"/>
    <n v="0.36561126144202594"/>
    <n v="0.22050518660338569"/>
    <s v="Good"/>
  </r>
  <r>
    <x v="8"/>
    <x v="3"/>
    <x v="7"/>
    <n v="321869"/>
    <x v="27"/>
    <n v="2302"/>
    <x v="2"/>
    <n v="21.8"/>
    <n v="5.57"/>
    <x v="93"/>
    <n v="122321"/>
    <n v="91598"/>
    <x v="2"/>
    <n v="17192"/>
    <n v="139.82059079061685"/>
    <s v="Low"/>
    <n v="0.33537867890352907"/>
    <n v="0.38003349188645069"/>
    <n v="0.28458161550195887"/>
    <s v="Good"/>
  </r>
  <r>
    <x v="9"/>
    <x v="5"/>
    <x v="3"/>
    <n v="512859"/>
    <x v="41"/>
    <n v="650"/>
    <x v="0"/>
    <n v="4.4800000000000004"/>
    <n v="5.9"/>
    <x v="94"/>
    <n v="215994"/>
    <n v="128587"/>
    <x v="0"/>
    <n v="10329"/>
    <n v="789.01076923076926"/>
    <s v="Low"/>
    <n v="0.32811357507619054"/>
    <n v="0.42115669219025115"/>
    <n v="0.25072583302623136"/>
    <s v="Good"/>
  </r>
  <r>
    <x v="8"/>
    <x v="2"/>
    <x v="9"/>
    <n v="100519"/>
    <x v="17"/>
    <n v="1717"/>
    <x v="3"/>
    <n v="26.31"/>
    <n v="6.41"/>
    <x v="95"/>
    <n v="41105"/>
    <n v="19475"/>
    <x v="0"/>
    <n v="20337"/>
    <n v="58.542224810716363"/>
    <s v="Low"/>
    <n v="0.39730797162725456"/>
    <n v="0.40892766541648845"/>
    <n v="0.19374446622031655"/>
    <s v="Good"/>
  </r>
  <r>
    <x v="3"/>
    <x v="2"/>
    <x v="9"/>
    <n v="104578"/>
    <x v="2"/>
    <n v="1274"/>
    <x v="3"/>
    <n v="2.91"/>
    <n v="8.4"/>
    <x v="96"/>
    <n v="46209"/>
    <n v="27700"/>
    <x v="4"/>
    <n v="11555"/>
    <n v="82.085557299843018"/>
    <s v="Low"/>
    <n v="0.29325479546367306"/>
    <n v="0.44186157700472373"/>
    <n v="0.26487406529097896"/>
    <s v="Excellent"/>
  </r>
  <r>
    <x v="5"/>
    <x v="1"/>
    <x v="9"/>
    <n v="354407"/>
    <x v="38"/>
    <n v="1972"/>
    <x v="1"/>
    <n v="11.67"/>
    <n v="9.11"/>
    <x v="97"/>
    <n v="129535"/>
    <n v="84285"/>
    <x v="4"/>
    <n v="13726"/>
    <n v="179.71855983772821"/>
    <s v="Low"/>
    <n v="0.39667670220960649"/>
    <n v="0.36549785980525218"/>
    <n v="0.23781979475574691"/>
    <s v="Excellent"/>
  </r>
  <r>
    <x v="9"/>
    <x v="1"/>
    <x v="1"/>
    <n v="263572"/>
    <x v="25"/>
    <n v="1428"/>
    <x v="0"/>
    <n v="2.1"/>
    <n v="7.6"/>
    <x v="98"/>
    <n v="125493"/>
    <n v="41261"/>
    <x v="2"/>
    <n v="9487"/>
    <n v="184.5735294117647"/>
    <s v="Low"/>
    <n v="0.36732657490173465"/>
    <n v="0.47612417100450732"/>
    <n v="0.15654546006404321"/>
    <s v="Good"/>
  </r>
  <r>
    <x v="6"/>
    <x v="6"/>
    <x v="5"/>
    <n v="324384"/>
    <x v="14"/>
    <n v="978"/>
    <x v="2"/>
    <n v="8.9"/>
    <n v="6.11"/>
    <x v="99"/>
    <n v="166205"/>
    <n v="35024"/>
    <x v="0"/>
    <n v="16428"/>
    <n v="331.67893660531695"/>
    <s v="Low"/>
    <n v="0.37965189405149452"/>
    <n v="0.51237114037683729"/>
    <n v="0.1079708000394594"/>
    <s v="Good"/>
  </r>
  <r>
    <x v="1"/>
    <x v="0"/>
    <x v="2"/>
    <n v="271194"/>
    <x v="21"/>
    <n v="2456"/>
    <x v="2"/>
    <n v="2.74"/>
    <n v="7.6"/>
    <x v="100"/>
    <n v="139599"/>
    <n v="51264"/>
    <x v="1"/>
    <n v="14479"/>
    <n v="110.42060260586319"/>
    <s v="Low"/>
    <n v="0.29620861818476812"/>
    <n v="0.5147569636496383"/>
    <n v="0.18903073076837984"/>
    <s v="Good"/>
  </r>
  <r>
    <x v="5"/>
    <x v="1"/>
    <x v="3"/>
    <n v="842484"/>
    <x v="1"/>
    <n v="1895"/>
    <x v="1"/>
    <n v="22.82"/>
    <n v="6.9"/>
    <x v="101"/>
    <n v="293852"/>
    <n v="173394"/>
    <x v="0"/>
    <n v="22954"/>
    <n v="444.5815303430079"/>
    <s v="Low"/>
    <n v="0.44539243475247009"/>
    <n v="0.34879238062681311"/>
    <n v="0.20581281068839288"/>
    <s v="Good"/>
  </r>
  <r>
    <x v="5"/>
    <x v="5"/>
    <x v="9"/>
    <n v="692736"/>
    <x v="16"/>
    <n v="1923"/>
    <x v="1"/>
    <n v="27.24"/>
    <n v="5.4"/>
    <x v="102"/>
    <n v="320079"/>
    <n v="134683"/>
    <x v="1"/>
    <n v="21342"/>
    <n v="360.23608944357773"/>
    <s v="Low"/>
    <n v="0.34352480598669621"/>
    <n v="0.46205047810421285"/>
    <n v="0.19442182880635625"/>
    <s v="Good"/>
  </r>
  <r>
    <x v="5"/>
    <x v="6"/>
    <x v="6"/>
    <n v="854536"/>
    <x v="42"/>
    <n v="1349"/>
    <x v="1"/>
    <n v="31.77"/>
    <n v="8.19"/>
    <x v="103"/>
    <n v="345899"/>
    <n v="218453"/>
    <x v="2"/>
    <n v="23348"/>
    <n v="633.45737583395112"/>
    <s v="Low"/>
    <n v="0.33957843788910003"/>
    <n v="0.40477990394787344"/>
    <n v="0.2556393177116002"/>
    <s v="Excellent"/>
  </r>
  <r>
    <x v="0"/>
    <x v="1"/>
    <x v="1"/>
    <n v="63045"/>
    <x v="15"/>
    <n v="2205"/>
    <x v="2"/>
    <n v="10.31"/>
    <n v="5.24"/>
    <x v="104"/>
    <n v="30155"/>
    <n v="6973"/>
    <x v="0"/>
    <n v="12123"/>
    <n v="28.591383219954647"/>
    <s v="Low"/>
    <n v="0.41107145689586805"/>
    <n v="0.47830914426203508"/>
    <n v="0.11060353715599969"/>
    <s v="Good"/>
  </r>
  <r>
    <x v="6"/>
    <x v="6"/>
    <x v="4"/>
    <n v="688711"/>
    <x v="43"/>
    <n v="2368"/>
    <x v="2"/>
    <n v="21.72"/>
    <n v="6.42"/>
    <x v="105"/>
    <n v="302218"/>
    <n v="150884"/>
    <x v="0"/>
    <n v="12519"/>
    <n v="290.84037162162161"/>
    <s v="Low"/>
    <n v="0.34209995193920234"/>
    <n v="0.43881686222522948"/>
    <n v="0.21908173384772422"/>
    <s v="Good"/>
  </r>
  <r>
    <x v="5"/>
    <x v="0"/>
    <x v="8"/>
    <n v="746326"/>
    <x v="14"/>
    <n v="1270"/>
    <x v="1"/>
    <n v="17.29"/>
    <n v="5.5"/>
    <x v="106"/>
    <n v="332344"/>
    <n v="105121"/>
    <x v="2"/>
    <n v="14318"/>
    <n v="587.65748031496059"/>
    <s v="Low"/>
    <n v="0.41384060048825849"/>
    <n v="0.44530674262989633"/>
    <n v="0.14085131698480288"/>
    <s v="Good"/>
  </r>
  <r>
    <x v="4"/>
    <x v="0"/>
    <x v="2"/>
    <n v="603354"/>
    <x v="33"/>
    <n v="1909"/>
    <x v="3"/>
    <n v="20.12"/>
    <n v="5.56"/>
    <x v="107"/>
    <n v="277245"/>
    <n v="94417"/>
    <x v="1"/>
    <n v="19028"/>
    <n v="316.05709795704558"/>
    <s v="Low"/>
    <n v="0.38400507827908659"/>
    <n v="0.45950635945067075"/>
    <n v="0.15648690486845201"/>
    <s v="Good"/>
  </r>
  <r>
    <x v="7"/>
    <x v="0"/>
    <x v="6"/>
    <n v="755091"/>
    <x v="16"/>
    <n v="1810"/>
    <x v="1"/>
    <n v="6.66"/>
    <n v="7.88"/>
    <x v="108"/>
    <n v="299402"/>
    <n v="104218"/>
    <x v="4"/>
    <n v="11069"/>
    <n v="417.17679558011048"/>
    <s v="Low"/>
    <n v="0.46546707615373512"/>
    <n v="0.39651114898734058"/>
    <n v="0.1380204505152359"/>
    <s v="Good"/>
  </r>
  <r>
    <x v="5"/>
    <x v="1"/>
    <x v="0"/>
    <n v="363442"/>
    <x v="29"/>
    <n v="325"/>
    <x v="3"/>
    <n v="15.45"/>
    <n v="8.98"/>
    <x v="109"/>
    <n v="170979"/>
    <n v="53421"/>
    <x v="1"/>
    <n v="14760"/>
    <n v="1118.28"/>
    <s v="Low"/>
    <n v="0.38256723218560318"/>
    <n v="0.47044370215880388"/>
    <n v="0.14698631418493185"/>
    <s v="Excellent"/>
  </r>
  <r>
    <x v="3"/>
    <x v="6"/>
    <x v="4"/>
    <n v="562993"/>
    <x v="31"/>
    <n v="496"/>
    <x v="0"/>
    <n v="4.3499999999999996"/>
    <n v="8.56"/>
    <x v="110"/>
    <n v="290498"/>
    <n v="108265"/>
    <x v="0"/>
    <n v="14567"/>
    <n v="1135.0645161290322"/>
    <s v="Low"/>
    <n v="0.29170700168563374"/>
    <n v="0.51598865350013234"/>
    <n v="0.19230256859321518"/>
    <s v="Excellent"/>
  </r>
  <r>
    <x v="5"/>
    <x v="4"/>
    <x v="5"/>
    <n v="584664"/>
    <x v="31"/>
    <n v="1197"/>
    <x v="0"/>
    <n v="10.35"/>
    <n v="9.2799999999999994"/>
    <x v="111"/>
    <n v="303386"/>
    <n v="82069"/>
    <x v="3"/>
    <n v="9108"/>
    <n v="488.4394319131161"/>
    <s v="Low"/>
    <n v="0.34072048219148093"/>
    <n v="0.51890658566287651"/>
    <n v="0.14036951137747491"/>
    <s v="Excellent"/>
  </r>
  <r>
    <x v="5"/>
    <x v="6"/>
    <x v="8"/>
    <n v="708352"/>
    <x v="39"/>
    <n v="1487"/>
    <x v="3"/>
    <n v="14.31"/>
    <n v="5.66"/>
    <x v="112"/>
    <n v="232016"/>
    <n v="178491"/>
    <x v="0"/>
    <n v="18815"/>
    <n v="476.36180228648283"/>
    <s v="Low"/>
    <n v="0.42047315458980844"/>
    <n v="0.32754336826888325"/>
    <n v="0.25198065368630285"/>
    <s v="Good"/>
  </r>
  <r>
    <x v="2"/>
    <x v="0"/>
    <x v="4"/>
    <n v="471166"/>
    <x v="33"/>
    <n v="868"/>
    <x v="0"/>
    <n v="3.58"/>
    <n v="9.02"/>
    <x v="113"/>
    <n v="187755"/>
    <n v="119751"/>
    <x v="3"/>
    <n v="17683"/>
    <n v="542.81566820276498"/>
    <s v="Low"/>
    <n v="0.34734679497247256"/>
    <n v="0.39849012874443401"/>
    <n v="0.25415883149463248"/>
    <s v="Excellent"/>
  </r>
  <r>
    <x v="0"/>
    <x v="6"/>
    <x v="3"/>
    <n v="825313"/>
    <x v="12"/>
    <n v="553"/>
    <x v="1"/>
    <n v="30.55"/>
    <n v="5.24"/>
    <x v="114"/>
    <n v="426635"/>
    <n v="124921"/>
    <x v="1"/>
    <n v="12140"/>
    <n v="1492.4267631103073"/>
    <s v="Low"/>
    <n v="0.33169960972382601"/>
    <n v="0.51693721048862673"/>
    <n v="0.15136196812603217"/>
    <s v="Good"/>
  </r>
  <r>
    <x v="0"/>
    <x v="6"/>
    <x v="9"/>
    <n v="350112"/>
    <x v="12"/>
    <n v="665"/>
    <x v="0"/>
    <n v="30.86"/>
    <n v="7.78"/>
    <x v="115"/>
    <n v="156827"/>
    <n v="71827"/>
    <x v="3"/>
    <n v="9728"/>
    <n v="526.48120300751884"/>
    <s v="Low"/>
    <n v="0.34690613289461658"/>
    <n v="0.44793380403985011"/>
    <n v="0.20515435060780551"/>
    <s v="Good"/>
  </r>
  <r>
    <x v="3"/>
    <x v="0"/>
    <x v="3"/>
    <n v="813105"/>
    <x v="9"/>
    <n v="881"/>
    <x v="2"/>
    <n v="4.96"/>
    <n v="9.74"/>
    <x v="116"/>
    <n v="299762"/>
    <n v="203451"/>
    <x v="4"/>
    <n v="17359"/>
    <n v="922.93189557321227"/>
    <s v="Low"/>
    <n v="0.38111928963663977"/>
    <n v="0.36866333376378202"/>
    <n v="0.25021491689265224"/>
    <s v="Excellent"/>
  </r>
  <r>
    <x v="6"/>
    <x v="5"/>
    <x v="4"/>
    <n v="893519"/>
    <x v="31"/>
    <n v="2409"/>
    <x v="0"/>
    <n v="5.23"/>
    <n v="6.52"/>
    <x v="117"/>
    <n v="423989"/>
    <n v="174848"/>
    <x v="4"/>
    <n v="15881"/>
    <n v="370.90826068908262"/>
    <s v="Low"/>
    <n v="0.32979824715534867"/>
    <n v="0.47451593083079374"/>
    <n v="0.19568470284347619"/>
    <s v="Good"/>
  </r>
  <r>
    <x v="7"/>
    <x v="3"/>
    <x v="0"/>
    <n v="675213"/>
    <x v="41"/>
    <n v="737"/>
    <x v="0"/>
    <n v="15.37"/>
    <n v="9.8800000000000008"/>
    <x v="118"/>
    <n v="241861"/>
    <n v="177289"/>
    <x v="1"/>
    <n v="19384"/>
    <n v="916.16146540027137"/>
    <s v="Low"/>
    <n v="0.37922996150844251"/>
    <n v="0.35819956073120629"/>
    <n v="0.26256751573207271"/>
    <s v="Excellent"/>
  </r>
  <r>
    <x v="1"/>
    <x v="0"/>
    <x v="8"/>
    <n v="513255"/>
    <x v="19"/>
    <n v="2399"/>
    <x v="0"/>
    <n v="1.71"/>
    <n v="6"/>
    <x v="119"/>
    <n v="247703"/>
    <n v="58181"/>
    <x v="0"/>
    <n v="21319"/>
    <n v="213.94456023343059"/>
    <s v="Low"/>
    <n v="0.40402723792267003"/>
    <n v="0.48261195701941528"/>
    <n v="0.11335690835939251"/>
    <s v="Good"/>
  </r>
  <r>
    <x v="7"/>
    <x v="5"/>
    <x v="1"/>
    <n v="178005"/>
    <x v="21"/>
    <n v="2298"/>
    <x v="2"/>
    <n v="11.86"/>
    <n v="6.57"/>
    <x v="120"/>
    <n v="70421"/>
    <n v="26335"/>
    <x v="2"/>
    <n v="13810"/>
    <n v="77.459965187119238"/>
    <s v="Low"/>
    <n v="0.45643099912923796"/>
    <n v="0.3956124827954271"/>
    <n v="0.14794528243588664"/>
    <s v="Good"/>
  </r>
  <r>
    <x v="7"/>
    <x v="5"/>
    <x v="2"/>
    <n v="442148"/>
    <x v="19"/>
    <n v="865"/>
    <x v="0"/>
    <n v="17.54"/>
    <n v="5.36"/>
    <x v="121"/>
    <n v="219565"/>
    <n v="72615"/>
    <x v="1"/>
    <n v="13367"/>
    <n v="511.15260115606935"/>
    <s v="Low"/>
    <n v="0.33917828419443263"/>
    <n v="0.49658711562644181"/>
    <n v="0.16423233849299329"/>
    <s v="Good"/>
  </r>
  <r>
    <x v="9"/>
    <x v="3"/>
    <x v="5"/>
    <n v="777913"/>
    <x v="31"/>
    <n v="2472"/>
    <x v="2"/>
    <n v="30.01"/>
    <n v="6.19"/>
    <x v="122"/>
    <n v="349239"/>
    <n v="164649"/>
    <x v="0"/>
    <n v="24643"/>
    <n v="314.68932038834953"/>
    <s v="Low"/>
    <n v="0.33940042138388227"/>
    <n v="0.44894351939098587"/>
    <n v="0.21165477373433791"/>
    <s v="Good"/>
  </r>
  <r>
    <x v="9"/>
    <x v="3"/>
    <x v="3"/>
    <n v="259063"/>
    <x v="6"/>
    <n v="1312"/>
    <x v="1"/>
    <n v="19.03"/>
    <n v="8.98"/>
    <x v="123"/>
    <n v="139756"/>
    <n v="42556"/>
    <x v="2"/>
    <n v="20716"/>
    <n v="197.45503048780489"/>
    <s v="Low"/>
    <n v="0.29625612302798932"/>
    <n v="0.53946723383887318"/>
    <n v="0.16426892300328491"/>
    <s v="Excellent"/>
  </r>
  <r>
    <x v="1"/>
    <x v="1"/>
    <x v="3"/>
    <n v="351109"/>
    <x v="23"/>
    <n v="1260"/>
    <x v="3"/>
    <n v="29.26"/>
    <n v="7.51"/>
    <x v="124"/>
    <n v="168367"/>
    <n v="42301"/>
    <x v="1"/>
    <n v="10785"/>
    <n v="278.65714285714284"/>
    <s v="Low"/>
    <n v="0.3999897467737939"/>
    <n v="0.47952914906766847"/>
    <n v="0.12047825604014707"/>
    <s v="Good"/>
  </r>
  <r>
    <x v="8"/>
    <x v="3"/>
    <x v="9"/>
    <n v="545839"/>
    <x v="1"/>
    <n v="726"/>
    <x v="3"/>
    <n v="31.36"/>
    <n v="5.48"/>
    <x v="125"/>
    <n v="209620"/>
    <n v="121074"/>
    <x v="3"/>
    <n v="17914"/>
    <n v="751.84159779614322"/>
    <s v="Low"/>
    <n v="0.39415102255426965"/>
    <n v="0.3840326543174819"/>
    <n v="0.22181265904415037"/>
    <s v="Good"/>
  </r>
  <r>
    <x v="6"/>
    <x v="1"/>
    <x v="0"/>
    <n v="104095"/>
    <x v="25"/>
    <n v="1843"/>
    <x v="0"/>
    <n v="27.45"/>
    <n v="5.82"/>
    <x v="126"/>
    <n v="44028"/>
    <n v="13872"/>
    <x v="3"/>
    <n v="20516"/>
    <n v="56.480737927292459"/>
    <s v="Low"/>
    <n v="0.44376771218598393"/>
    <n v="0.42295979633988184"/>
    <n v="0.13326288486478696"/>
    <s v="Good"/>
  </r>
  <r>
    <x v="1"/>
    <x v="1"/>
    <x v="8"/>
    <n v="466967"/>
    <x v="21"/>
    <n v="2496"/>
    <x v="0"/>
    <n v="12.39"/>
    <n v="9.4"/>
    <x v="127"/>
    <n v="192036"/>
    <n v="61481"/>
    <x v="1"/>
    <n v="15557"/>
    <n v="187.08533653846155"/>
    <s v="Low"/>
    <n v="0.45709439853351519"/>
    <n v="0.41124105129484523"/>
    <n v="0.13166026721374316"/>
    <s v="Excellent"/>
  </r>
  <r>
    <x v="9"/>
    <x v="3"/>
    <x v="8"/>
    <n v="258788"/>
    <x v="1"/>
    <n v="1403"/>
    <x v="2"/>
    <n v="24.83"/>
    <n v="9.6300000000000008"/>
    <x v="128"/>
    <n v="109412"/>
    <n v="56917"/>
    <x v="4"/>
    <n v="10559"/>
    <n v="184.45260156806842"/>
    <s v="Low"/>
    <n v="0.3572731347666816"/>
    <n v="0.42278621883549466"/>
    <n v="0.21993678223101534"/>
    <s v="Excellent"/>
  </r>
  <r>
    <x v="8"/>
    <x v="0"/>
    <x v="0"/>
    <n v="292881"/>
    <x v="20"/>
    <n v="2249"/>
    <x v="0"/>
    <n v="13.94"/>
    <n v="6.72"/>
    <x v="129"/>
    <n v="111212"/>
    <n v="68138"/>
    <x v="2"/>
    <n v="20053"/>
    <n v="130.22676745220099"/>
    <s v="Low"/>
    <n v="0.38763183682109797"/>
    <n v="0.37971735961021713"/>
    <n v="0.23264738921268366"/>
    <s v="Good"/>
  </r>
  <r>
    <x v="9"/>
    <x v="3"/>
    <x v="9"/>
    <n v="83845"/>
    <x v="44"/>
    <n v="946"/>
    <x v="3"/>
    <n v="20.25"/>
    <n v="9.32"/>
    <x v="130"/>
    <n v="35661"/>
    <n v="11113"/>
    <x v="3"/>
    <n v="11467"/>
    <n v="88.628964059196619"/>
    <s v="Low"/>
    <n v="0.44211342357922356"/>
    <n v="0.42532053193392572"/>
    <n v="0.13254219094758185"/>
    <s v="Excellent"/>
  </r>
  <r>
    <x v="8"/>
    <x v="5"/>
    <x v="9"/>
    <n v="659239"/>
    <x v="7"/>
    <n v="930"/>
    <x v="1"/>
    <n v="11.29"/>
    <n v="7.3"/>
    <x v="131"/>
    <n v="258769"/>
    <n v="146570"/>
    <x v="4"/>
    <n v="23734"/>
    <n v="708.85698924731184"/>
    <s v="Low"/>
    <n v="0.38513801519630969"/>
    <n v="0.39252683776293573"/>
    <n v="0.22233211323965968"/>
    <s v="Good"/>
  </r>
  <r>
    <x v="0"/>
    <x v="2"/>
    <x v="3"/>
    <n v="226168"/>
    <x v="22"/>
    <n v="2268"/>
    <x v="3"/>
    <n v="16.260000000000002"/>
    <n v="8.1199999999999992"/>
    <x v="132"/>
    <n v="89920"/>
    <n v="39295"/>
    <x v="1"/>
    <n v="23738"/>
    <n v="99.720899470899468"/>
    <s v="Low"/>
    <n v="0.42867249124544587"/>
    <n v="0.39758055958402605"/>
    <n v="0.17374252767853984"/>
    <s v="Excellent"/>
  </r>
  <r>
    <x v="0"/>
    <x v="1"/>
    <x v="8"/>
    <n v="142494"/>
    <x v="26"/>
    <n v="2264"/>
    <x v="1"/>
    <n v="4.1399999999999997"/>
    <n v="8.7200000000000006"/>
    <x v="133"/>
    <n v="76963"/>
    <n v="23624"/>
    <x v="3"/>
    <n v="22133"/>
    <n v="62.938604240282686"/>
    <s v="Low"/>
    <n v="0.29408957570143307"/>
    <n v="0.54011396971100534"/>
    <n v="0.16578943674821395"/>
    <s v="Excellent"/>
  </r>
  <r>
    <x v="7"/>
    <x v="2"/>
    <x v="5"/>
    <n v="276530"/>
    <x v="40"/>
    <n v="2486"/>
    <x v="3"/>
    <n v="3.56"/>
    <n v="8.58"/>
    <x v="134"/>
    <n v="102966"/>
    <n v="71998"/>
    <x v="2"/>
    <n v="14618"/>
    <n v="111.23411102172165"/>
    <s v="Low"/>
    <n v="0.36728022276064082"/>
    <n v="0.3723501970853072"/>
    <n v="0.26036234766571437"/>
    <s v="Excellent"/>
  </r>
  <r>
    <x v="1"/>
    <x v="4"/>
    <x v="5"/>
    <n v="746610"/>
    <x v="27"/>
    <n v="2317"/>
    <x v="1"/>
    <n v="27.05"/>
    <n v="6.69"/>
    <x v="135"/>
    <n v="368052"/>
    <n v="119063"/>
    <x v="2"/>
    <n v="22228"/>
    <n v="322.2304704359085"/>
    <s v="Low"/>
    <n v="0.34756164530343819"/>
    <n v="0.49296419817575443"/>
    <n v="0.15947147774607895"/>
    <s v="Good"/>
  </r>
  <r>
    <x v="3"/>
    <x v="0"/>
    <x v="5"/>
    <n v="864048"/>
    <x v="31"/>
    <n v="1598"/>
    <x v="3"/>
    <n v="32.96"/>
    <n v="7.22"/>
    <x v="136"/>
    <n v="305605"/>
    <n v="206130"/>
    <x v="4"/>
    <n v="14406"/>
    <n v="540.70463078848559"/>
    <s v="Low"/>
    <n v="0.4077447086272985"/>
    <n v="0.35368984130511266"/>
    <n v="0.2385631353813677"/>
    <s v="Good"/>
  </r>
  <r>
    <x v="7"/>
    <x v="1"/>
    <x v="0"/>
    <n v="704487"/>
    <x v="22"/>
    <n v="2463"/>
    <x v="0"/>
    <n v="2.0499999999999998"/>
    <n v="9.5399999999999991"/>
    <x v="137"/>
    <n v="233039"/>
    <n v="189283"/>
    <x v="3"/>
    <n v="21818"/>
    <n v="286.02760860738937"/>
    <s v="Low"/>
    <n v="0.400524069287297"/>
    <n v="0.33079247736296058"/>
    <n v="0.2686820338771333"/>
    <s v="Excellent"/>
  </r>
  <r>
    <x v="2"/>
    <x v="2"/>
    <x v="8"/>
    <n v="374910"/>
    <x v="23"/>
    <n v="836"/>
    <x v="1"/>
    <n v="15.32"/>
    <n v="5.45"/>
    <x v="138"/>
    <n v="130478"/>
    <n v="83697"/>
    <x v="4"/>
    <n v="9662"/>
    <n v="448.45454545454544"/>
    <s v="Low"/>
    <n v="0.4287242271478488"/>
    <n v="0.34802485929956523"/>
    <n v="0.22324557893894534"/>
    <s v="Good"/>
  </r>
  <r>
    <x v="9"/>
    <x v="2"/>
    <x v="2"/>
    <n v="145648"/>
    <x v="44"/>
    <n v="2046"/>
    <x v="3"/>
    <n v="15.08"/>
    <n v="9.23"/>
    <x v="139"/>
    <n v="72723"/>
    <n v="25778"/>
    <x v="2"/>
    <n v="10613"/>
    <n v="71.185728250244381"/>
    <s v="Low"/>
    <n v="0.32369136548390642"/>
    <n v="0.4993065472921015"/>
    <n v="0.17698835548720201"/>
    <s v="Excellent"/>
  </r>
  <r>
    <x v="4"/>
    <x v="3"/>
    <x v="1"/>
    <n v="248445"/>
    <x v="14"/>
    <n v="346"/>
    <x v="2"/>
    <n v="23.95"/>
    <n v="7.67"/>
    <x v="140"/>
    <n v="103620"/>
    <n v="51701"/>
    <x v="2"/>
    <n v="19234"/>
    <n v="718.04624277456651"/>
    <s v="Low"/>
    <n v="0.37482340155768884"/>
    <n v="0.41707420153353864"/>
    <n v="0.20809837187305039"/>
    <s v="Good"/>
  </r>
  <r>
    <x v="8"/>
    <x v="5"/>
    <x v="3"/>
    <n v="795289"/>
    <x v="7"/>
    <n v="2436"/>
    <x v="1"/>
    <n v="3.91"/>
    <n v="5.84"/>
    <x v="141"/>
    <n v="345916"/>
    <n v="127755"/>
    <x v="1"/>
    <n v="22675"/>
    <n v="326.4729064039409"/>
    <s v="Low"/>
    <n v="0.40440267625982507"/>
    <n v="0.4349563492013595"/>
    <n v="0.16063971713427447"/>
    <s v="Good"/>
  </r>
  <r>
    <x v="4"/>
    <x v="5"/>
    <x v="2"/>
    <n v="475377"/>
    <x v="15"/>
    <n v="2435"/>
    <x v="2"/>
    <n v="17.2"/>
    <n v="8.9499999999999993"/>
    <x v="142"/>
    <n v="207506"/>
    <n v="74669"/>
    <x v="3"/>
    <n v="22537"/>
    <n v="195.22628336755648"/>
    <s v="Low"/>
    <n v="0.40641638110383971"/>
    <n v="0.43650828710686468"/>
    <n v="0.15707322819572675"/>
    <s v="Excellent"/>
  </r>
  <r>
    <x v="7"/>
    <x v="4"/>
    <x v="5"/>
    <n v="188302"/>
    <x v="12"/>
    <n v="1367"/>
    <x v="1"/>
    <n v="28.89"/>
    <n v="6.33"/>
    <x v="143"/>
    <n v="72482"/>
    <n v="35365"/>
    <x v="4"/>
    <n v="13896"/>
    <n v="137.74689100219459"/>
    <s v="Low"/>
    <n v="0.42725515395481728"/>
    <n v="0.38492421748043038"/>
    <n v="0.18781000732865291"/>
    <s v="Good"/>
  </r>
  <r>
    <x v="6"/>
    <x v="0"/>
    <x v="1"/>
    <n v="467048"/>
    <x v="28"/>
    <n v="558"/>
    <x v="2"/>
    <n v="19.5"/>
    <n v="6.63"/>
    <x v="144"/>
    <n v="250718"/>
    <n v="72304"/>
    <x v="4"/>
    <n v="14206"/>
    <n v="837.00179211469538"/>
    <s v="Low"/>
    <n v="0.30837301519329918"/>
    <n v="0.53681420325105766"/>
    <n v="0.15481064044809098"/>
    <s v="Good"/>
  </r>
  <r>
    <x v="4"/>
    <x v="4"/>
    <x v="2"/>
    <n v="588298"/>
    <x v="44"/>
    <n v="611"/>
    <x v="0"/>
    <n v="20.92"/>
    <n v="7.62"/>
    <x v="145"/>
    <n v="203784"/>
    <n v="116718"/>
    <x v="0"/>
    <n v="14357"/>
    <n v="962.84124386252051"/>
    <s v="Low"/>
    <n v="0.45520127554402701"/>
    <n v="0.34639587419981033"/>
    <n v="0.19839945061856407"/>
    <s v="Good"/>
  </r>
  <r>
    <x v="7"/>
    <x v="2"/>
    <x v="6"/>
    <n v="324769"/>
    <x v="26"/>
    <n v="2386"/>
    <x v="0"/>
    <n v="4.88"/>
    <n v="5.3"/>
    <x v="146"/>
    <n v="139488"/>
    <n v="68787"/>
    <x v="2"/>
    <n v="18434"/>
    <n v="136.11357921207042"/>
    <s v="Low"/>
    <n v="0.35869187022160365"/>
    <n v="0.42949912091363401"/>
    <n v="0.2118028506415329"/>
    <s v="Good"/>
  </r>
  <r>
    <x v="2"/>
    <x v="1"/>
    <x v="7"/>
    <n v="614828"/>
    <x v="40"/>
    <n v="335"/>
    <x v="2"/>
    <n v="25.92"/>
    <n v="9.67"/>
    <x v="147"/>
    <n v="306500"/>
    <n v="118608"/>
    <x v="2"/>
    <n v="23400"/>
    <n v="1835.3014925373134"/>
    <s v="Low"/>
    <n v="0.30857085233593784"/>
    <n v="0.49851340537516181"/>
    <n v="0.19291248934661401"/>
    <s v="Excellent"/>
  </r>
  <r>
    <x v="6"/>
    <x v="6"/>
    <x v="7"/>
    <n v="734932"/>
    <x v="45"/>
    <n v="600"/>
    <x v="2"/>
    <n v="14.36"/>
    <n v="5.7"/>
    <x v="148"/>
    <n v="332817"/>
    <n v="143612"/>
    <x v="2"/>
    <n v="10694"/>
    <n v="1224.8833333333334"/>
    <s v="Low"/>
    <n v="0.35173458224706505"/>
    <n v="0.45285414160765897"/>
    <n v="0.19540855480507041"/>
    <s v="Good"/>
  </r>
  <r>
    <x v="2"/>
    <x v="5"/>
    <x v="4"/>
    <n v="117950"/>
    <x v="46"/>
    <n v="1650"/>
    <x v="2"/>
    <n v="15.62"/>
    <n v="8.26"/>
    <x v="149"/>
    <n v="43344"/>
    <n v="15488"/>
    <x v="4"/>
    <n v="13907"/>
    <n v="71.484242424242424"/>
    <s v="Low"/>
    <n v="0.50120389995760917"/>
    <n v="0.36747774480712164"/>
    <n v="0.13130987706655362"/>
    <s v="Excellent"/>
  </r>
  <r>
    <x v="2"/>
    <x v="1"/>
    <x v="1"/>
    <n v="360920"/>
    <x v="0"/>
    <n v="2275"/>
    <x v="3"/>
    <n v="27.18"/>
    <n v="7.39"/>
    <x v="150"/>
    <n v="127710"/>
    <n v="79064"/>
    <x v="1"/>
    <n v="16093"/>
    <n v="158.64527472527473"/>
    <s v="Low"/>
    <n v="0.42708633492186632"/>
    <n v="0.35384572758506039"/>
    <n v="0.21906239609885847"/>
    <s v="Good"/>
  </r>
  <r>
    <x v="9"/>
    <x v="1"/>
    <x v="8"/>
    <n v="520878"/>
    <x v="34"/>
    <n v="2104"/>
    <x v="0"/>
    <n v="7.24"/>
    <n v="6.97"/>
    <x v="151"/>
    <n v="223432"/>
    <n v="88467"/>
    <x v="3"/>
    <n v="24738"/>
    <n v="247.56463878326997"/>
    <s v="Low"/>
    <n v="0.40120143296510891"/>
    <n v="0.42895265302047697"/>
    <n v="0.1698420743437043"/>
    <s v="Good"/>
  </r>
  <r>
    <x v="7"/>
    <x v="4"/>
    <x v="9"/>
    <n v="256601"/>
    <x v="22"/>
    <n v="717"/>
    <x v="2"/>
    <n v="4.74"/>
    <n v="5.58"/>
    <x v="152"/>
    <n v="108683"/>
    <n v="33650"/>
    <x v="0"/>
    <n v="20963"/>
    <n v="357.87866108786613"/>
    <s v="Low"/>
    <n v="0.44530613676486064"/>
    <n v="0.42354862217996031"/>
    <n v="0.13113744685328585"/>
    <s v="Good"/>
  </r>
  <r>
    <x v="4"/>
    <x v="2"/>
    <x v="3"/>
    <n v="500411"/>
    <x v="10"/>
    <n v="936"/>
    <x v="2"/>
    <n v="3.16"/>
    <n v="7.43"/>
    <x v="153"/>
    <n v="229873"/>
    <n v="107940"/>
    <x v="3"/>
    <n v="23449"/>
    <n v="534.625"/>
    <s v="Low"/>
    <n v="0.32492491172256405"/>
    <n v="0.45936839917587741"/>
    <n v="0.21570269238685799"/>
    <s v="Good"/>
  </r>
  <r>
    <x v="4"/>
    <x v="2"/>
    <x v="7"/>
    <n v="635856"/>
    <x v="15"/>
    <n v="1625"/>
    <x v="2"/>
    <n v="19.77"/>
    <n v="8.64"/>
    <x v="154"/>
    <n v="239084"/>
    <n v="126669"/>
    <x v="1"/>
    <n v="10917"/>
    <n v="391.29538461538459"/>
    <s v="Low"/>
    <n v="0.42478485694874313"/>
    <n v="0.37600337183261617"/>
    <n v="0.19921019853551747"/>
    <s v="Excellent"/>
  </r>
  <r>
    <x v="8"/>
    <x v="1"/>
    <x v="9"/>
    <n v="864692"/>
    <x v="24"/>
    <n v="2143"/>
    <x v="3"/>
    <n v="21.37"/>
    <n v="6.57"/>
    <x v="155"/>
    <n v="437578"/>
    <n v="131003"/>
    <x v="3"/>
    <n v="10391"/>
    <n v="403.49556696220253"/>
    <s v="Low"/>
    <n v="0.34244563382105997"/>
    <n v="0.50605070938553842"/>
    <n v="0.1515025003122499"/>
    <s v="Good"/>
  </r>
  <r>
    <x v="5"/>
    <x v="0"/>
    <x v="3"/>
    <n v="885529"/>
    <x v="44"/>
    <n v="2499"/>
    <x v="2"/>
    <n v="32.18"/>
    <n v="8.06"/>
    <x v="156"/>
    <n v="430225"/>
    <n v="97482"/>
    <x v="4"/>
    <n v="18664"/>
    <n v="354.35294117647061"/>
    <s v="Low"/>
    <n v="0.40407598170133335"/>
    <n v="0.48583953772264937"/>
    <n v="0.11008335130752353"/>
    <s v="Excellent"/>
  </r>
  <r>
    <x v="8"/>
    <x v="4"/>
    <x v="4"/>
    <n v="117007"/>
    <x v="33"/>
    <n v="1909"/>
    <x v="1"/>
    <n v="2.52"/>
    <n v="5.27"/>
    <x v="157"/>
    <n v="61458"/>
    <n v="14767"/>
    <x v="4"/>
    <n v="9269"/>
    <n v="61.291251964379256"/>
    <s v="Low"/>
    <n v="0.34852615655473607"/>
    <n v="0.52525062603092121"/>
    <n v="0.1262061244199065"/>
    <s v="Good"/>
  </r>
  <r>
    <x v="5"/>
    <x v="1"/>
    <x v="3"/>
    <n v="517485"/>
    <x v="26"/>
    <n v="2435"/>
    <x v="3"/>
    <n v="32.69"/>
    <n v="5.82"/>
    <x v="158"/>
    <n v="274569"/>
    <n v="76231"/>
    <x v="1"/>
    <n v="12730"/>
    <n v="212.51909650924026"/>
    <s v="Low"/>
    <n v="0.32210402233881175"/>
    <n v="0.53058349517377312"/>
    <n v="0.14731055006425306"/>
    <s v="Good"/>
  </r>
  <r>
    <x v="1"/>
    <x v="3"/>
    <x v="7"/>
    <n v="749580"/>
    <x v="0"/>
    <n v="993"/>
    <x v="1"/>
    <n v="30.31"/>
    <n v="8.0500000000000007"/>
    <x v="159"/>
    <n v="353586"/>
    <n v="114043"/>
    <x v="4"/>
    <n v="13068"/>
    <n v="754.86203423967777"/>
    <s v="Low"/>
    <n v="0.37614263987833185"/>
    <n v="0.47171215880893302"/>
    <n v="0.15214253315189841"/>
    <s v="Excellent"/>
  </r>
  <r>
    <x v="3"/>
    <x v="2"/>
    <x v="1"/>
    <n v="597745"/>
    <x v="34"/>
    <n v="1580"/>
    <x v="0"/>
    <n v="33.909999999999997"/>
    <n v="5.26"/>
    <x v="160"/>
    <n v="254227"/>
    <n v="159340"/>
    <x v="0"/>
    <n v="15897"/>
    <n v="378.31898734177213"/>
    <s v="Low"/>
    <n v="0.30811968314247712"/>
    <n v="0.42531012388225747"/>
    <n v="0.26656852002107922"/>
    <s v="Good"/>
  </r>
  <r>
    <x v="5"/>
    <x v="4"/>
    <x v="0"/>
    <n v="367500"/>
    <x v="0"/>
    <n v="2188"/>
    <x v="3"/>
    <n v="14.02"/>
    <n v="9.51"/>
    <x v="161"/>
    <n v="176306"/>
    <n v="38256"/>
    <x v="3"/>
    <n v="20244"/>
    <n v="167.96069469835467"/>
    <s v="Low"/>
    <n v="0.41615238095238094"/>
    <n v="0.47974421768707481"/>
    <n v="0.10409795918367347"/>
    <s v="Excellent"/>
  </r>
  <r>
    <x v="6"/>
    <x v="0"/>
    <x v="1"/>
    <n v="623125"/>
    <x v="6"/>
    <n v="1852"/>
    <x v="0"/>
    <n v="11.33"/>
    <n v="7.47"/>
    <x v="162"/>
    <n v="245724"/>
    <n v="82096"/>
    <x v="3"/>
    <n v="11241"/>
    <n v="336.4595032397408"/>
    <s v="Low"/>
    <n v="0.47390651955867602"/>
    <n v="0.39434142427281843"/>
    <n v="0.13174884653961885"/>
    <s v="Good"/>
  </r>
  <r>
    <x v="7"/>
    <x v="3"/>
    <x v="0"/>
    <n v="109380"/>
    <x v="27"/>
    <n v="1947"/>
    <x v="1"/>
    <n v="16.43"/>
    <n v="5.44"/>
    <x v="163"/>
    <n v="51166"/>
    <n v="21389"/>
    <x v="4"/>
    <n v="24395"/>
    <n v="56.178222907036464"/>
    <s v="Low"/>
    <n v="0.33666118120314498"/>
    <n v="0.46778204424940573"/>
    <n v="0.19554763210824647"/>
    <s v="Good"/>
  </r>
  <r>
    <x v="8"/>
    <x v="0"/>
    <x v="8"/>
    <n v="59144"/>
    <x v="31"/>
    <n v="543"/>
    <x v="1"/>
    <n v="18.09"/>
    <n v="7.49"/>
    <x v="164"/>
    <n v="30539"/>
    <n v="9117"/>
    <x v="0"/>
    <n v="18363"/>
    <n v="108.9171270718232"/>
    <s v="Low"/>
    <n v="0.32946706343838766"/>
    <n v="0.51634992560530235"/>
    <n v="0.1541491951846341"/>
    <s v="Good"/>
  </r>
  <r>
    <x v="2"/>
    <x v="4"/>
    <x v="8"/>
    <n v="177461"/>
    <x v="5"/>
    <n v="2209"/>
    <x v="2"/>
    <n v="13.99"/>
    <n v="8.0399999999999991"/>
    <x v="165"/>
    <n v="62643"/>
    <n v="37217"/>
    <x v="0"/>
    <n v="10931"/>
    <n v="80.334993209597101"/>
    <s v="Low"/>
    <n v="0.43727917683321971"/>
    <n v="0.35299586951499201"/>
    <n v="0.20971931861084972"/>
    <s v="Excellent"/>
  </r>
  <r>
    <x v="8"/>
    <x v="5"/>
    <x v="9"/>
    <n v="667842"/>
    <x v="21"/>
    <n v="1971"/>
    <x v="2"/>
    <n v="33.74"/>
    <n v="6.74"/>
    <x v="166"/>
    <n v="241127"/>
    <n v="159162"/>
    <x v="2"/>
    <n v="22231"/>
    <n v="338.83358701166918"/>
    <s v="Low"/>
    <n v="0.40062170393596092"/>
    <n v="0.36105396186523159"/>
    <n v="0.23832283683865346"/>
    <s v="Good"/>
  </r>
  <r>
    <x v="6"/>
    <x v="2"/>
    <x v="3"/>
    <n v="105926"/>
    <x v="39"/>
    <n v="368"/>
    <x v="1"/>
    <n v="30.58"/>
    <n v="9.43"/>
    <x v="167"/>
    <n v="49466"/>
    <n v="15202"/>
    <x v="4"/>
    <n v="23554"/>
    <n v="287.8396739130435"/>
    <s v="Low"/>
    <n v="0.38948888846930874"/>
    <n v="0.46698638672280651"/>
    <n v="0.14351528425504598"/>
    <s v="Excellent"/>
  </r>
  <r>
    <x v="7"/>
    <x v="3"/>
    <x v="2"/>
    <n v="679175"/>
    <x v="6"/>
    <n v="2475"/>
    <x v="1"/>
    <n v="22.28"/>
    <n v="5.28"/>
    <x v="168"/>
    <n v="242910"/>
    <n v="189757"/>
    <x v="0"/>
    <n v="23957"/>
    <n v="274.41333333333336"/>
    <s v="Low"/>
    <n v="0.36294916626789853"/>
    <n v="0.35765450730665882"/>
    <n v="0.27939338167629846"/>
    <s v="Good"/>
  </r>
  <r>
    <x v="6"/>
    <x v="5"/>
    <x v="6"/>
    <n v="177615"/>
    <x v="27"/>
    <n v="1245"/>
    <x v="0"/>
    <n v="22.98"/>
    <n v="9.76"/>
    <x v="169"/>
    <n v="70150"/>
    <n v="36676"/>
    <x v="4"/>
    <n v="17316"/>
    <n v="142.66184738955823"/>
    <s v="Low"/>
    <n v="0.39854741998142051"/>
    <n v="0.39495538102074712"/>
    <n v="0.20649156884272163"/>
    <s v="Excellent"/>
  </r>
  <r>
    <x v="6"/>
    <x v="0"/>
    <x v="4"/>
    <n v="389707"/>
    <x v="13"/>
    <n v="1559"/>
    <x v="3"/>
    <n v="2.29"/>
    <n v="7.96"/>
    <x v="170"/>
    <n v="174494"/>
    <n v="44546"/>
    <x v="2"/>
    <n v="17994"/>
    <n v="249.97177677998718"/>
    <s v="Low"/>
    <n v="0.43793414026435246"/>
    <n v="0.44775690454623601"/>
    <n v="0.11430638915903486"/>
    <s v="Good"/>
  </r>
  <r>
    <x v="0"/>
    <x v="4"/>
    <x v="1"/>
    <n v="515060"/>
    <x v="42"/>
    <n v="1577"/>
    <x v="0"/>
    <n v="2.52"/>
    <n v="9.1999999999999993"/>
    <x v="171"/>
    <n v="177906"/>
    <n v="125475"/>
    <x v="4"/>
    <n v="11512"/>
    <n v="326.60684844641725"/>
    <s v="Low"/>
    <n v="0.41097736186075406"/>
    <n v="0.34540830194540439"/>
    <n v="0.24361239467246534"/>
    <s v="Excellent"/>
  </r>
  <r>
    <x v="7"/>
    <x v="6"/>
    <x v="3"/>
    <n v="548014"/>
    <x v="27"/>
    <n v="1683"/>
    <x v="3"/>
    <n v="20.84"/>
    <n v="8.77"/>
    <x v="172"/>
    <n v="248477"/>
    <n v="91743"/>
    <x v="3"/>
    <n v="19883"/>
    <n v="325.61675579322639"/>
    <s v="Low"/>
    <n v="0.37917461962650589"/>
    <n v="0.45341359892265526"/>
    <n v="0.16740995667993883"/>
    <s v="Excellent"/>
  </r>
  <r>
    <x v="8"/>
    <x v="0"/>
    <x v="4"/>
    <n v="852677"/>
    <x v="7"/>
    <n v="1940"/>
    <x v="0"/>
    <n v="32.04"/>
    <n v="9.52"/>
    <x v="173"/>
    <n v="379579"/>
    <n v="180471"/>
    <x v="3"/>
    <n v="15543"/>
    <n v="439.52371134020621"/>
    <s v="Low"/>
    <n v="0.34318505131485899"/>
    <n v="0.44516153244429019"/>
    <n v="0.21165224346382042"/>
    <s v="Excellent"/>
  </r>
  <r>
    <x v="9"/>
    <x v="2"/>
    <x v="3"/>
    <n v="362769"/>
    <x v="1"/>
    <n v="1339"/>
    <x v="1"/>
    <n v="29.12"/>
    <n v="6.2"/>
    <x v="174"/>
    <n v="179474"/>
    <n v="61621"/>
    <x v="3"/>
    <n v="19168"/>
    <n v="270.92382374906646"/>
    <s v="Low"/>
    <n v="0.3353980080988177"/>
    <n v="0.49473356323169843"/>
    <n v="0.16986291551924226"/>
    <s v="Good"/>
  </r>
  <r>
    <x v="5"/>
    <x v="6"/>
    <x v="4"/>
    <n v="625432"/>
    <x v="30"/>
    <n v="1799"/>
    <x v="3"/>
    <n v="32.549999999999997"/>
    <n v="7"/>
    <x v="175"/>
    <n v="260157"/>
    <n v="105413"/>
    <x v="1"/>
    <n v="24818"/>
    <n v="347.65425236242356"/>
    <s v="Low"/>
    <n v="0.41548881413167221"/>
    <n v="0.41596368590030569"/>
    <n v="0.16854430217833433"/>
    <s v="Good"/>
  </r>
  <r>
    <x v="4"/>
    <x v="4"/>
    <x v="4"/>
    <n v="732143"/>
    <x v="21"/>
    <n v="1000"/>
    <x v="2"/>
    <n v="9.5500000000000007"/>
    <n v="7.56"/>
    <x v="176"/>
    <n v="284681"/>
    <n v="203873"/>
    <x v="1"/>
    <n v="24872"/>
    <n v="732.14200000000005"/>
    <s v="Low"/>
    <n v="0.33270549605746419"/>
    <n v="0.38883250949609571"/>
    <n v="0.2784606285930481"/>
    <s v="Good"/>
  </r>
  <r>
    <x v="9"/>
    <x v="1"/>
    <x v="0"/>
    <n v="583277"/>
    <x v="28"/>
    <n v="2001"/>
    <x v="1"/>
    <n v="4.7699999999999996"/>
    <n v="8.43"/>
    <x v="177"/>
    <n v="259959"/>
    <n v="148042"/>
    <x v="3"/>
    <n v="15012"/>
    <n v="291.49175412293852"/>
    <s v="Low"/>
    <n v="0.30049873387772874"/>
    <n v="0.44568704063420983"/>
    <n v="0.25381079658549882"/>
    <s v="Excellent"/>
  </r>
  <r>
    <x v="0"/>
    <x v="4"/>
    <x v="0"/>
    <n v="277404"/>
    <x v="43"/>
    <n v="304"/>
    <x v="2"/>
    <n v="3"/>
    <n v="8.6199999999999992"/>
    <x v="178"/>
    <n v="127008"/>
    <n v="49981"/>
    <x v="0"/>
    <n v="11585"/>
    <n v="912.50657894736844"/>
    <s v="Low"/>
    <n v="0.36197387204222004"/>
    <n v="0.45784487606523339"/>
    <n v="0.18017404219117245"/>
    <s v="Excellent"/>
  </r>
  <r>
    <x v="1"/>
    <x v="4"/>
    <x v="8"/>
    <n v="377771"/>
    <x v="32"/>
    <n v="2205"/>
    <x v="1"/>
    <n v="9.08"/>
    <n v="9.49"/>
    <x v="179"/>
    <n v="178841"/>
    <n v="77964"/>
    <x v="2"/>
    <n v="11760"/>
    <n v="171.32380952380953"/>
    <s v="Low"/>
    <n v="0.32020456837607969"/>
    <n v="0.47341114061164041"/>
    <n v="0.20637899679964847"/>
    <s v="Excellent"/>
  </r>
  <r>
    <x v="3"/>
    <x v="0"/>
    <x v="4"/>
    <n v="60563"/>
    <x v="33"/>
    <n v="2290"/>
    <x v="2"/>
    <n v="22.46"/>
    <n v="6.83"/>
    <x v="180"/>
    <n v="29803"/>
    <n v="7708"/>
    <x v="3"/>
    <n v="14565"/>
    <n v="26.446288209606987"/>
    <s v="Low"/>
    <n v="0.3806119247725509"/>
    <n v="0.4920991364364381"/>
    <n v="0.12727242705942574"/>
    <s v="Good"/>
  </r>
  <r>
    <x v="2"/>
    <x v="1"/>
    <x v="4"/>
    <n v="342488"/>
    <x v="43"/>
    <n v="2391"/>
    <x v="2"/>
    <n v="20.329999999999998"/>
    <n v="6.51"/>
    <x v="181"/>
    <n v="167911"/>
    <n v="55246"/>
    <x v="3"/>
    <n v="13169"/>
    <n v="143.24006691760769"/>
    <s v="Low"/>
    <n v="0.34842096657401134"/>
    <n v="0.49026827217303964"/>
    <n v="0.16130784144261989"/>
    <s v="Good"/>
  </r>
  <r>
    <x v="5"/>
    <x v="6"/>
    <x v="3"/>
    <n v="882160"/>
    <x v="34"/>
    <n v="906"/>
    <x v="2"/>
    <n v="29.5"/>
    <n v="9.7200000000000006"/>
    <x v="182"/>
    <n v="476337"/>
    <n v="114141"/>
    <x v="2"/>
    <n v="23252"/>
    <n v="973.68432671081678"/>
    <s v="Low"/>
    <n v="0.33064296726217468"/>
    <n v="0.53996667271243315"/>
    <n v="0.1293880928629727"/>
    <s v="Excellent"/>
  </r>
  <r>
    <x v="9"/>
    <x v="1"/>
    <x v="8"/>
    <n v="294002"/>
    <x v="45"/>
    <n v="1555"/>
    <x v="3"/>
    <n v="13.38"/>
    <n v="9.18"/>
    <x v="183"/>
    <n v="142432"/>
    <n v="46345"/>
    <x v="3"/>
    <n v="15374"/>
    <n v="189.06816720257234"/>
    <s v="Low"/>
    <n v="0.3579023271950531"/>
    <n v="0.48445928939258914"/>
    <n v="0.15763498207495188"/>
    <s v="Excellent"/>
  </r>
  <r>
    <x v="6"/>
    <x v="3"/>
    <x v="1"/>
    <n v="861287"/>
    <x v="43"/>
    <n v="1950"/>
    <x v="0"/>
    <n v="24.98"/>
    <n v="9.5"/>
    <x v="184"/>
    <n v="403090"/>
    <n v="146916"/>
    <x v="4"/>
    <n v="8744"/>
    <n v="441.68512820512819"/>
    <s v="Low"/>
    <n v="0.36141263016857333"/>
    <n v="0.46800892153254375"/>
    <n v="0.17057728724571483"/>
    <s v="Excellent"/>
  </r>
  <r>
    <x v="8"/>
    <x v="4"/>
    <x v="8"/>
    <n v="410914"/>
    <x v="15"/>
    <n v="2121"/>
    <x v="2"/>
    <n v="18.45"/>
    <n v="6.61"/>
    <x v="185"/>
    <n v="183777"/>
    <n v="76271"/>
    <x v="1"/>
    <n v="21439"/>
    <n v="193.73550212164074"/>
    <s v="Low"/>
    <n v="0.36714495003820752"/>
    <n v="0.44723956837683798"/>
    <n v="0.18561304798570991"/>
    <s v="Good"/>
  </r>
  <r>
    <x v="1"/>
    <x v="1"/>
    <x v="9"/>
    <n v="495182"/>
    <x v="18"/>
    <n v="2197"/>
    <x v="2"/>
    <n v="2.95"/>
    <n v="5.5"/>
    <x v="186"/>
    <n v="176550"/>
    <n v="120804"/>
    <x v="4"/>
    <n v="24575"/>
    <n v="225.38916704597179"/>
    <s v="Low"/>
    <n v="0.39950159739247387"/>
    <n v="0.35653557681822035"/>
    <n v="0.24395878687028202"/>
    <s v="Good"/>
  </r>
  <r>
    <x v="7"/>
    <x v="4"/>
    <x v="3"/>
    <n v="477402"/>
    <x v="47"/>
    <n v="1529"/>
    <x v="0"/>
    <n v="21.8"/>
    <n v="8.56"/>
    <x v="187"/>
    <n v="244109"/>
    <n v="73627"/>
    <x v="2"/>
    <n v="13972"/>
    <n v="312.2308698495749"/>
    <s v="Low"/>
    <n v="0.33444560349558655"/>
    <n v="0.51132797935492524"/>
    <n v="0.15422432247874956"/>
    <s v="Excellent"/>
  </r>
  <r>
    <x v="1"/>
    <x v="5"/>
    <x v="9"/>
    <n v="177553"/>
    <x v="37"/>
    <n v="885"/>
    <x v="1"/>
    <n v="25.38"/>
    <n v="8.3000000000000007"/>
    <x v="188"/>
    <n v="73588"/>
    <n v="37086"/>
    <x v="3"/>
    <n v="11854"/>
    <n v="200.62372881355932"/>
    <s v="Low"/>
    <n v="0.37666499580406976"/>
    <n v="0.41445652847318831"/>
    <n v="0.2088728436016288"/>
    <s v="Excellent"/>
  </r>
  <r>
    <x v="1"/>
    <x v="3"/>
    <x v="8"/>
    <n v="493955"/>
    <x v="33"/>
    <n v="392"/>
    <x v="2"/>
    <n v="9.1999999999999993"/>
    <n v="7.25"/>
    <x v="189"/>
    <n v="230292"/>
    <n v="70666"/>
    <x v="0"/>
    <n v="10205"/>
    <n v="1260.0841836734694"/>
    <s v="Low"/>
    <n v="0.39071372898340945"/>
    <n v="0.46622060714032654"/>
    <n v="0.14306161492443645"/>
    <s v="Good"/>
  </r>
  <r>
    <x v="9"/>
    <x v="5"/>
    <x v="2"/>
    <n v="263646"/>
    <x v="46"/>
    <n v="1197"/>
    <x v="0"/>
    <n v="30.37"/>
    <n v="6.93"/>
    <x v="190"/>
    <n v="133789"/>
    <n v="37711"/>
    <x v="4"/>
    <n v="24598"/>
    <n v="220.25480367585629"/>
    <s v="Low"/>
    <n v="0.34950274231355682"/>
    <n v="0.50745696881424329"/>
    <n v="0.14303649590739098"/>
    <s v="Good"/>
  </r>
  <r>
    <x v="8"/>
    <x v="2"/>
    <x v="8"/>
    <n v="139456"/>
    <x v="48"/>
    <n v="2455"/>
    <x v="0"/>
    <n v="10.3"/>
    <n v="9.48"/>
    <x v="191"/>
    <n v="50630"/>
    <n v="29859"/>
    <x v="2"/>
    <n v="8143"/>
    <n v="56.804073319755602"/>
    <s v="Low"/>
    <n v="0.42282153510784765"/>
    <n v="0.36305357962368057"/>
    <n v="0.21411054382744379"/>
    <s v="Excellent"/>
  </r>
  <r>
    <x v="9"/>
    <x v="5"/>
    <x v="7"/>
    <n v="836624"/>
    <x v="29"/>
    <n v="2475"/>
    <x v="3"/>
    <n v="4.7"/>
    <n v="9.16"/>
    <x v="192"/>
    <n v="388346"/>
    <n v="169611"/>
    <x v="0"/>
    <n v="10270"/>
    <n v="338.02909090909088"/>
    <s v="Low"/>
    <n v="0.33308272294364016"/>
    <n v="0.46418223718181645"/>
    <n v="0.20273264931438734"/>
    <s v="Excellent"/>
  </r>
  <r>
    <x v="1"/>
    <x v="0"/>
    <x v="9"/>
    <n v="274938"/>
    <x v="44"/>
    <n v="996"/>
    <x v="2"/>
    <n v="24.18"/>
    <n v="9.4499999999999993"/>
    <x v="193"/>
    <n v="137071"/>
    <n v="59057"/>
    <x v="2"/>
    <n v="17140"/>
    <n v="276.0401606425703"/>
    <s v="Low"/>
    <n v="0.28663916955822766"/>
    <n v="0.4985524009049313"/>
    <n v="0.21480115516952913"/>
    <s v="Excellent"/>
  </r>
  <r>
    <x v="6"/>
    <x v="2"/>
    <x v="2"/>
    <n v="516831"/>
    <x v="17"/>
    <n v="1564"/>
    <x v="2"/>
    <n v="16.55"/>
    <n v="9.6999999999999993"/>
    <x v="194"/>
    <n v="221994"/>
    <n v="103298"/>
    <x v="0"/>
    <n v="14101"/>
    <n v="330.45332480818416"/>
    <s v="Low"/>
    <n v="0.37059889983379479"/>
    <n v="0.42952918845812266"/>
    <n v="0.19986804197116659"/>
    <s v="Excellent"/>
  </r>
  <r>
    <x v="9"/>
    <x v="3"/>
    <x v="6"/>
    <n v="226670"/>
    <x v="45"/>
    <n v="1676"/>
    <x v="3"/>
    <n v="14.37"/>
    <n v="8.15"/>
    <x v="195"/>
    <n v="99882"/>
    <n v="57881"/>
    <x v="1"/>
    <n v="13595"/>
    <n v="135.2434367541766"/>
    <s v="Low"/>
    <n v="0.30398817664446109"/>
    <n v="0.4406494022146733"/>
    <n v="0.25535359774120969"/>
    <s v="Excellent"/>
  </r>
  <r>
    <x v="0"/>
    <x v="2"/>
    <x v="5"/>
    <n v="896216"/>
    <x v="5"/>
    <n v="2446"/>
    <x v="3"/>
    <n v="17.850000000000001"/>
    <n v="5.0199999999999996"/>
    <x v="196"/>
    <n v="397662"/>
    <n v="243216"/>
    <x v="0"/>
    <n v="10845"/>
    <n v="366.40024529844646"/>
    <s v="Low"/>
    <n v="0.28490564774563276"/>
    <n v="0.44371223008738964"/>
    <n v="0.2713810063645371"/>
    <s v="Good"/>
  </r>
  <r>
    <x v="0"/>
    <x v="1"/>
    <x v="9"/>
    <n v="365528"/>
    <x v="47"/>
    <n v="785"/>
    <x v="2"/>
    <n v="17.98"/>
    <n v="5.38"/>
    <x v="197"/>
    <n v="145975"/>
    <n v="77959"/>
    <x v="1"/>
    <n v="20929"/>
    <n v="465.63821656050953"/>
    <s v="Low"/>
    <n v="0.38736293799654198"/>
    <n v="0.39935381147271892"/>
    <n v="0.21327777899367489"/>
    <s v="Good"/>
  </r>
  <r>
    <x v="8"/>
    <x v="0"/>
    <x v="1"/>
    <n v="573577"/>
    <x v="12"/>
    <n v="675"/>
    <x v="2"/>
    <n v="1.7"/>
    <n v="5.44"/>
    <x v="198"/>
    <n v="247930"/>
    <n v="82404"/>
    <x v="2"/>
    <n v="21016"/>
    <n v="849.74222222222227"/>
    <s v="Low"/>
    <n v="0.4240790687213748"/>
    <n v="0.43225233926743922"/>
    <n v="0.14366684856610359"/>
    <s v="Good"/>
  </r>
  <r>
    <x v="5"/>
    <x v="5"/>
    <x v="4"/>
    <n v="558004"/>
    <x v="23"/>
    <n v="2369"/>
    <x v="2"/>
    <n v="30.06"/>
    <n v="7.93"/>
    <x v="199"/>
    <n v="264954"/>
    <n v="102811"/>
    <x v="0"/>
    <n v="14264"/>
    <n v="235.54368932038835"/>
    <s v="Low"/>
    <n v="0.34092587149912906"/>
    <n v="0.47482455322900913"/>
    <n v="0.18424778317001311"/>
    <s v="Good"/>
  </r>
  <r>
    <x v="3"/>
    <x v="4"/>
    <x v="8"/>
    <n v="629724"/>
    <x v="12"/>
    <n v="2497"/>
    <x v="0"/>
    <n v="17.66"/>
    <n v="5.95"/>
    <x v="200"/>
    <n v="278330"/>
    <n v="75459"/>
    <x v="0"/>
    <n v="20284"/>
    <n v="252.19142971565878"/>
    <s v="Low"/>
    <n v="0.43818085383437821"/>
    <n v="0.44198728331777098"/>
    <n v="0.11982868685328811"/>
    <s v="Good"/>
  </r>
  <r>
    <x v="8"/>
    <x v="1"/>
    <x v="2"/>
    <n v="516176"/>
    <x v="36"/>
    <n v="2095"/>
    <x v="1"/>
    <n v="9.92"/>
    <n v="5.76"/>
    <x v="201"/>
    <n v="234525"/>
    <n v="132895"/>
    <x v="3"/>
    <n v="21850"/>
    <n v="246.38424821002386"/>
    <s v="Low"/>
    <n v="0.28818658752053561"/>
    <n v="0.45435084157341682"/>
    <n v="0.257460633582344"/>
    <s v="Good"/>
  </r>
  <r>
    <x v="8"/>
    <x v="2"/>
    <x v="4"/>
    <n v="877922"/>
    <x v="41"/>
    <n v="493"/>
    <x v="3"/>
    <n v="28.16"/>
    <n v="9.18"/>
    <x v="202"/>
    <n v="495270"/>
    <n v="103782"/>
    <x v="0"/>
    <n v="24229"/>
    <n v="1780.7728194726167"/>
    <s v="Low"/>
    <n v="0.31764667020532578"/>
    <n v="0.56413895539694869"/>
    <n v="0.11821323534437"/>
    <s v="Excellent"/>
  </r>
  <r>
    <x v="7"/>
    <x v="2"/>
    <x v="7"/>
    <n v="628031"/>
    <x v="17"/>
    <n v="1725"/>
    <x v="2"/>
    <n v="20"/>
    <n v="7.78"/>
    <x v="203"/>
    <n v="228517"/>
    <n v="105114"/>
    <x v="1"/>
    <n v="21129"/>
    <n v="364.07536231884058"/>
    <s v="Low"/>
    <n v="0.4687650768831475"/>
    <n v="0.36386261187743918"/>
    <n v="0.16737071896132516"/>
    <s v="Good"/>
  </r>
  <r>
    <x v="7"/>
    <x v="2"/>
    <x v="9"/>
    <n v="277486"/>
    <x v="34"/>
    <n v="796"/>
    <x v="2"/>
    <n v="5.98"/>
    <n v="6.64"/>
    <x v="204"/>
    <n v="122153"/>
    <n v="42908"/>
    <x v="4"/>
    <n v="12391"/>
    <n v="348.59798994974875"/>
    <s v="Low"/>
    <n v="0.405148367845585"/>
    <n v="0.44021319994522246"/>
    <n v="0.15463122463836013"/>
    <s v="Good"/>
  </r>
  <r>
    <x v="1"/>
    <x v="4"/>
    <x v="8"/>
    <n v="80846"/>
    <x v="41"/>
    <n v="478"/>
    <x v="0"/>
    <n v="30.44"/>
    <n v="9.1"/>
    <x v="205"/>
    <n v="34693"/>
    <n v="11026"/>
    <x v="1"/>
    <n v="16405"/>
    <n v="169.13179916317992"/>
    <s v="Low"/>
    <n v="0.434480370086337"/>
    <n v="0.42912450832446875"/>
    <n v="0.13638275239343939"/>
    <s v="Excellent"/>
  </r>
  <r>
    <x v="0"/>
    <x v="3"/>
    <x v="7"/>
    <n v="324478"/>
    <x v="18"/>
    <n v="2426"/>
    <x v="2"/>
    <n v="21.36"/>
    <n v="5.07"/>
    <x v="206"/>
    <n v="155007"/>
    <n v="34135"/>
    <x v="2"/>
    <n v="16068"/>
    <n v="133.74979389942291"/>
    <s v="Low"/>
    <n v="0.41708528775448567"/>
    <n v="0.47771189418080734"/>
    <n v="0.10519973619166785"/>
    <s v="Good"/>
  </r>
  <r>
    <x v="8"/>
    <x v="1"/>
    <x v="6"/>
    <n v="233916"/>
    <x v="31"/>
    <n v="2484"/>
    <x v="1"/>
    <n v="18.239999999999998"/>
    <n v="8.5299999999999994"/>
    <x v="207"/>
    <n v="96061"/>
    <n v="46624"/>
    <x v="2"/>
    <n v="18488"/>
    <n v="94.168276972624795"/>
    <s v="Low"/>
    <n v="0.390007524068469"/>
    <n v="0.41066451204705962"/>
    <n v="0.19931941380666565"/>
    <s v="Excellent"/>
  </r>
  <r>
    <x v="6"/>
    <x v="2"/>
    <x v="9"/>
    <n v="855661"/>
    <x v="25"/>
    <n v="414"/>
    <x v="3"/>
    <n v="27.25"/>
    <n v="6.42"/>
    <x v="208"/>
    <n v="343289"/>
    <n v="199768"/>
    <x v="3"/>
    <n v="9103"/>
    <n v="2066.8115942028985"/>
    <s v="Low"/>
    <n v="0.36533510350477583"/>
    <n v="0.40119743683538223"/>
    <n v="0.23346629097270999"/>
    <s v="Good"/>
  </r>
  <r>
    <x v="0"/>
    <x v="3"/>
    <x v="0"/>
    <n v="801359"/>
    <x v="39"/>
    <n v="1397"/>
    <x v="1"/>
    <n v="32.56"/>
    <n v="5.99"/>
    <x v="209"/>
    <n v="337296"/>
    <n v="135351"/>
    <x v="2"/>
    <n v="24548"/>
    <n v="573.6270579813887"/>
    <s v="Low"/>
    <n v="0.41019068856779545"/>
    <n v="0.42090498765222578"/>
    <n v="0.16890182801965162"/>
    <s v="Good"/>
  </r>
  <r>
    <x v="6"/>
    <x v="4"/>
    <x v="7"/>
    <n v="539225"/>
    <x v="25"/>
    <n v="1555"/>
    <x v="2"/>
    <n v="23.81"/>
    <n v="7.29"/>
    <x v="210"/>
    <n v="185140"/>
    <n v="124814"/>
    <x v="3"/>
    <n v="10742"/>
    <n v="346.76784565916398"/>
    <s v="Low"/>
    <n v="0.42518429227131532"/>
    <n v="0.34334461495665075"/>
    <n v="0.2314692382586119"/>
    <s v="Good"/>
  </r>
  <r>
    <x v="2"/>
    <x v="1"/>
    <x v="3"/>
    <n v="82310"/>
    <x v="47"/>
    <n v="1772"/>
    <x v="2"/>
    <n v="28.06"/>
    <n v="7.81"/>
    <x v="211"/>
    <n v="40771"/>
    <n v="14744"/>
    <x v="3"/>
    <n v="10003"/>
    <n v="46.449774266365687"/>
    <s v="Low"/>
    <n v="0.32552545255740495"/>
    <n v="0.49533471024176895"/>
    <n v="0.17912768800874743"/>
    <s v="Good"/>
  </r>
  <r>
    <x v="0"/>
    <x v="6"/>
    <x v="2"/>
    <n v="275341"/>
    <x v="16"/>
    <n v="1853"/>
    <x v="1"/>
    <n v="1.96"/>
    <n v="8.32"/>
    <x v="212"/>
    <n v="115661"/>
    <n v="60965"/>
    <x v="4"/>
    <n v="17056"/>
    <n v="148.59147328656232"/>
    <s v="Low"/>
    <n v="0.35851544085334186"/>
    <n v="0.42006457447310791"/>
    <n v="0.22141635281342045"/>
    <s v="Excellent"/>
  </r>
  <r>
    <x v="8"/>
    <x v="1"/>
    <x v="6"/>
    <n v="246067"/>
    <x v="47"/>
    <n v="2336"/>
    <x v="0"/>
    <n v="34.21"/>
    <n v="8.27"/>
    <x v="213"/>
    <n v="112138"/>
    <n v="54488"/>
    <x v="1"/>
    <n v="19219"/>
    <n v="105.33647260273973"/>
    <s v="Low"/>
    <n v="0.32283890159997075"/>
    <n v="0.45572140920968679"/>
    <n v="0.22143562525653582"/>
    <s v="Excellent"/>
  </r>
  <r>
    <x v="9"/>
    <x v="0"/>
    <x v="0"/>
    <n v="250192"/>
    <x v="1"/>
    <n v="2367"/>
    <x v="1"/>
    <n v="31.7"/>
    <n v="9.94"/>
    <x v="214"/>
    <n v="124500"/>
    <n v="34551"/>
    <x v="4"/>
    <n v="18996"/>
    <n v="105.69961977186311"/>
    <s v="Low"/>
    <n v="0.36428023278122401"/>
    <n v="0.49761782950693867"/>
    <n v="0.13809794078147983"/>
    <s v="Excellent"/>
  </r>
  <r>
    <x v="8"/>
    <x v="5"/>
    <x v="9"/>
    <n v="748207"/>
    <x v="39"/>
    <n v="501"/>
    <x v="3"/>
    <n v="29.82"/>
    <n v="7.28"/>
    <x v="215"/>
    <n v="342326"/>
    <n v="174019"/>
    <x v="0"/>
    <n v="10243"/>
    <n v="1493.4251497005987"/>
    <s v="Low"/>
    <n v="0.30988884092236507"/>
    <n v="0.45752846471631514"/>
    <n v="0.23258135783279227"/>
    <s v="Good"/>
  </r>
  <r>
    <x v="4"/>
    <x v="5"/>
    <x v="5"/>
    <n v="453900"/>
    <x v="6"/>
    <n v="1690"/>
    <x v="1"/>
    <n v="10.71"/>
    <n v="5.41"/>
    <x v="216"/>
    <n v="204401"/>
    <n v="54989"/>
    <x v="0"/>
    <n v="15649"/>
    <n v="268.57869822485208"/>
    <s v="Low"/>
    <n v="0.42852610707204231"/>
    <n v="0.45032165675258867"/>
    <n v="0.12114782991848425"/>
    <s v="Good"/>
  </r>
  <r>
    <x v="8"/>
    <x v="0"/>
    <x v="4"/>
    <n v="878330"/>
    <x v="33"/>
    <n v="1019"/>
    <x v="2"/>
    <n v="15.66"/>
    <n v="8.3699999999999992"/>
    <x v="217"/>
    <n v="452505"/>
    <n v="149955"/>
    <x v="1"/>
    <n v="19619"/>
    <n v="861.95093228655549"/>
    <s v="Low"/>
    <n v="0.31408240638484397"/>
    <n v="0.51518791342661641"/>
    <n v="0.17072740314004986"/>
    <s v="Excellent"/>
  </r>
  <r>
    <x v="5"/>
    <x v="6"/>
    <x v="3"/>
    <n v="155468"/>
    <x v="16"/>
    <n v="1740"/>
    <x v="1"/>
    <n v="14.53"/>
    <n v="8.39"/>
    <x v="218"/>
    <n v="71651"/>
    <n v="33536"/>
    <x v="0"/>
    <n v="11744"/>
    <n v="89.348275862068959"/>
    <s v="Low"/>
    <n v="0.32340417320606168"/>
    <n v="0.46087297707566832"/>
    <n v="0.21570998533460262"/>
    <s v="Excellent"/>
  </r>
  <r>
    <x v="7"/>
    <x v="1"/>
    <x v="5"/>
    <n v="190595"/>
    <x v="24"/>
    <n v="431"/>
    <x v="1"/>
    <n v="18.98"/>
    <n v="6.28"/>
    <x v="219"/>
    <n v="67396"/>
    <n v="41046"/>
    <x v="2"/>
    <n v="17860"/>
    <n v="442.21113689095125"/>
    <s v="Low"/>
    <n v="0.43102389884309661"/>
    <n v="0.35360843673758491"/>
    <n v="0.21535717096461082"/>
    <s v="Good"/>
  </r>
  <r>
    <x v="9"/>
    <x v="6"/>
    <x v="1"/>
    <n v="139763"/>
    <x v="3"/>
    <n v="2049"/>
    <x v="0"/>
    <n v="31.62"/>
    <n v="7.79"/>
    <x v="220"/>
    <n v="58091"/>
    <n v="28525"/>
    <x v="3"/>
    <n v="10090"/>
    <n v="68.209858467545146"/>
    <s v="Low"/>
    <n v="0.38025800819959504"/>
    <n v="0.41563933229824773"/>
    <n v="0.20409550453267317"/>
    <s v="Good"/>
  </r>
  <r>
    <x v="7"/>
    <x v="6"/>
    <x v="0"/>
    <n v="833266"/>
    <x v="12"/>
    <n v="2001"/>
    <x v="0"/>
    <n v="14.05"/>
    <n v="6.25"/>
    <x v="221"/>
    <n v="421465"/>
    <n v="157472"/>
    <x v="2"/>
    <n v="17186"/>
    <n v="416.42428785607194"/>
    <s v="Low"/>
    <n v="0.30521826163554017"/>
    <n v="0.5057988685485787"/>
    <n v="0.18898166971891328"/>
    <s v="Good"/>
  </r>
  <r>
    <x v="9"/>
    <x v="5"/>
    <x v="3"/>
    <n v="754542"/>
    <x v="40"/>
    <n v="2042"/>
    <x v="1"/>
    <n v="23.1"/>
    <n v="5.88"/>
    <x v="222"/>
    <n v="310771"/>
    <n v="104296"/>
    <x v="0"/>
    <n v="13160"/>
    <n v="369.51077375122429"/>
    <s v="Low"/>
    <n v="0.44990736102165285"/>
    <n v="0.41186706637934006"/>
    <n v="0.13822424729173458"/>
    <s v="Good"/>
  </r>
  <r>
    <x v="9"/>
    <x v="1"/>
    <x v="3"/>
    <n v="225453"/>
    <x v="17"/>
    <n v="413"/>
    <x v="3"/>
    <n v="12.78"/>
    <n v="8.2100000000000009"/>
    <x v="223"/>
    <n v="99312"/>
    <n v="39371"/>
    <x v="4"/>
    <n v="24730"/>
    <n v="545.88619854721549"/>
    <s v="Low"/>
    <n v="0.38486070267417155"/>
    <n v="0.44049979374858617"/>
    <n v="0.17463063254869085"/>
    <s v="Excellent"/>
  </r>
  <r>
    <x v="1"/>
    <x v="4"/>
    <x v="4"/>
    <n v="874620"/>
    <x v="21"/>
    <n v="1144"/>
    <x v="0"/>
    <n v="6.03"/>
    <n v="6.39"/>
    <x v="224"/>
    <n v="360450"/>
    <n v="212088"/>
    <x v="1"/>
    <n v="21585"/>
    <n v="764.52709790209792"/>
    <s v="Low"/>
    <n v="0.34538542452722326"/>
    <n v="0.41212183576867667"/>
    <n v="0.24249159635041503"/>
    <s v="Good"/>
  </r>
  <r>
    <x v="5"/>
    <x v="4"/>
    <x v="6"/>
    <n v="893009"/>
    <x v="37"/>
    <n v="647"/>
    <x v="0"/>
    <n v="2.61"/>
    <n v="8.19"/>
    <x v="225"/>
    <n v="452646"/>
    <n v="171088"/>
    <x v="4"/>
    <n v="22141"/>
    <n v="1380.2287480680061"/>
    <s v="Low"/>
    <n v="0.30153559482603198"/>
    <n v="0.50687731030706296"/>
    <n v="0.19158597505736225"/>
    <s v="Excellent"/>
  </r>
  <r>
    <x v="1"/>
    <x v="2"/>
    <x v="0"/>
    <n v="875475"/>
    <x v="48"/>
    <n v="1788"/>
    <x v="1"/>
    <n v="6.89"/>
    <n v="6.74"/>
    <x v="226"/>
    <n v="355048"/>
    <n v="234932"/>
    <x v="1"/>
    <n v="18561"/>
    <n v="489.63814317673376"/>
    <s v="Low"/>
    <n v="0.32610068819783544"/>
    <n v="0.40554898769239556"/>
    <n v="0.26834803963562637"/>
    <s v="Good"/>
  </r>
  <r>
    <x v="4"/>
    <x v="3"/>
    <x v="8"/>
    <n v="153545"/>
    <x v="7"/>
    <n v="707"/>
    <x v="0"/>
    <n v="15.29"/>
    <n v="7.49"/>
    <x v="227"/>
    <n v="72587"/>
    <n v="27777"/>
    <x v="2"/>
    <n v="11633"/>
    <n v="217.17538896746817"/>
    <s v="Low"/>
    <n v="0.34634146341463412"/>
    <n v="0.47274089029274807"/>
    <n v="0.18090462079520661"/>
    <s v="Good"/>
  </r>
  <r>
    <x v="9"/>
    <x v="2"/>
    <x v="0"/>
    <n v="211188"/>
    <x v="26"/>
    <n v="1773"/>
    <x v="2"/>
    <n v="29.87"/>
    <n v="5.69"/>
    <x v="228"/>
    <n v="76466"/>
    <n v="44169"/>
    <x v="0"/>
    <n v="8970"/>
    <n v="119.112239142696"/>
    <s v="Low"/>
    <n v="0.42876962706214367"/>
    <n v="0.36207549671382844"/>
    <n v="0.20914540598897666"/>
    <s v="Good"/>
  </r>
  <r>
    <x v="3"/>
    <x v="6"/>
    <x v="3"/>
    <n v="797670"/>
    <x v="13"/>
    <n v="1138"/>
    <x v="2"/>
    <n v="22.33"/>
    <n v="7.03"/>
    <x v="229"/>
    <n v="317983"/>
    <n v="171735"/>
    <x v="3"/>
    <n v="18576"/>
    <n v="700.93936731107203"/>
    <s v="Low"/>
    <n v="0.38606315895044319"/>
    <n v="0.39863978838366743"/>
    <n v="0.21529579901463011"/>
    <s v="Good"/>
  </r>
  <r>
    <x v="6"/>
    <x v="2"/>
    <x v="8"/>
    <n v="880084"/>
    <x v="19"/>
    <n v="1205"/>
    <x v="3"/>
    <n v="20.55"/>
    <n v="8.51"/>
    <x v="230"/>
    <n v="379097"/>
    <n v="160776"/>
    <x v="1"/>
    <n v="20961"/>
    <n v="730.35850622406645"/>
    <s v="Low"/>
    <n v="0.38656423705009979"/>
    <n v="0.43075092832047851"/>
    <n v="0.18268256211907044"/>
    <s v="Excellent"/>
  </r>
  <r>
    <x v="2"/>
    <x v="5"/>
    <x v="5"/>
    <n v="67943"/>
    <x v="45"/>
    <n v="1086"/>
    <x v="3"/>
    <n v="9.86"/>
    <n v="9.91"/>
    <x v="231"/>
    <n v="31050"/>
    <n v="10037"/>
    <x v="4"/>
    <n v="10231"/>
    <n v="62.560773480662981"/>
    <s v="Low"/>
    <n v="0.39524307139808368"/>
    <n v="0.45700072119276453"/>
    <n v="0.14772677096978348"/>
    <s v="Excellent"/>
  </r>
  <r>
    <x v="7"/>
    <x v="5"/>
    <x v="9"/>
    <n v="624490"/>
    <x v="8"/>
    <n v="1316"/>
    <x v="2"/>
    <n v="27.6"/>
    <n v="8.74"/>
    <x v="232"/>
    <n v="222267"/>
    <n v="125517"/>
    <x v="2"/>
    <n v="13811"/>
    <n v="474.53495440729483"/>
    <s v="Low"/>
    <n v="0.44308795977517657"/>
    <n v="0.35591762878508865"/>
    <n v="0.20099120882640234"/>
    <s v="Excellent"/>
  </r>
  <r>
    <x v="4"/>
    <x v="1"/>
    <x v="1"/>
    <n v="743338"/>
    <x v="8"/>
    <n v="1305"/>
    <x v="1"/>
    <n v="13.06"/>
    <n v="8.09"/>
    <x v="233"/>
    <n v="291265"/>
    <n v="156986"/>
    <x v="1"/>
    <n v="9676"/>
    <n v="569.60689655172416"/>
    <s v="Low"/>
    <n v="0.3969741893997078"/>
    <n v="0.39183386292642108"/>
    <n v="0.21119060239083701"/>
    <s v="Excellent"/>
  </r>
  <r>
    <x v="3"/>
    <x v="6"/>
    <x v="7"/>
    <n v="85843"/>
    <x v="31"/>
    <n v="1285"/>
    <x v="1"/>
    <n v="5.29"/>
    <n v="7.09"/>
    <x v="234"/>
    <n v="37233"/>
    <n v="16178"/>
    <x v="0"/>
    <n v="23964"/>
    <n v="66.803112840466923"/>
    <s v="Low"/>
    <n v="0.3777943454911874"/>
    <n v="0.43373367659564555"/>
    <n v="0.18846032873967591"/>
    <s v="Good"/>
  </r>
  <r>
    <x v="0"/>
    <x v="4"/>
    <x v="7"/>
    <n v="129463"/>
    <x v="13"/>
    <n v="850"/>
    <x v="2"/>
    <n v="27.52"/>
    <n v="9.89"/>
    <x v="235"/>
    <n v="58672"/>
    <n v="22584"/>
    <x v="4"/>
    <n v="15180"/>
    <n v="152.30705882352942"/>
    <s v="Low"/>
    <n v="0.37234576674416631"/>
    <n v="0.45319512138603307"/>
    <n v="0.17444366344051968"/>
    <s v="Excellent"/>
  </r>
  <r>
    <x v="1"/>
    <x v="1"/>
    <x v="5"/>
    <n v="101554"/>
    <x v="29"/>
    <n v="920"/>
    <x v="2"/>
    <n v="25.57"/>
    <n v="5.68"/>
    <x v="236"/>
    <n v="40121"/>
    <n v="14847"/>
    <x v="2"/>
    <n v="13750"/>
    <n v="110.38369565217391"/>
    <s v="Low"/>
    <n v="0.45872146838135375"/>
    <n v="0.39507060283199086"/>
    <n v="0.14619808180869293"/>
    <s v="Good"/>
  </r>
  <r>
    <x v="0"/>
    <x v="4"/>
    <x v="2"/>
    <n v="596958"/>
    <x v="15"/>
    <n v="561"/>
    <x v="0"/>
    <n v="17.41"/>
    <n v="8.36"/>
    <x v="237"/>
    <n v="225323"/>
    <n v="132712"/>
    <x v="3"/>
    <n v="11683"/>
    <n v="1064.0944741532976"/>
    <s v="Low"/>
    <n v="0.40023251217003541"/>
    <n v="0.37745201504963499"/>
    <n v="0.22231379762060313"/>
    <s v="Excellent"/>
  </r>
  <r>
    <x v="6"/>
    <x v="5"/>
    <x v="9"/>
    <n v="575335"/>
    <x v="23"/>
    <n v="1395"/>
    <x v="0"/>
    <n v="12.19"/>
    <n v="9.89"/>
    <x v="238"/>
    <n v="232297"/>
    <n v="80347"/>
    <x v="0"/>
    <n v="21432"/>
    <n v="412.42580645161291"/>
    <s v="Low"/>
    <n v="0.45658616284425596"/>
    <n v="0.40375954878462111"/>
    <n v="0.13965255025333068"/>
    <s v="Excellent"/>
  </r>
  <r>
    <x v="9"/>
    <x v="1"/>
    <x v="9"/>
    <n v="809740"/>
    <x v="6"/>
    <n v="1419"/>
    <x v="0"/>
    <n v="26.43"/>
    <n v="7.43"/>
    <x v="239"/>
    <n v="430343"/>
    <n v="122028"/>
    <x v="3"/>
    <n v="23609"/>
    <n v="570.63988724453839"/>
    <s v="Low"/>
    <n v="0.31783905945118185"/>
    <n v="0.53145824585669477"/>
    <n v="0.15070022476350434"/>
    <s v="Good"/>
  </r>
  <r>
    <x v="8"/>
    <x v="3"/>
    <x v="0"/>
    <n v="331706"/>
    <x v="0"/>
    <n v="1022"/>
    <x v="1"/>
    <n v="21.88"/>
    <n v="6.71"/>
    <x v="240"/>
    <n v="137432"/>
    <n v="62218"/>
    <x v="0"/>
    <n v="24335"/>
    <n v="324.5645792563601"/>
    <s v="Low"/>
    <n v="0.39810856601930628"/>
    <n v="0.41431870391250081"/>
    <n v="0.18756971535034037"/>
    <s v="Good"/>
  </r>
  <r>
    <x v="8"/>
    <x v="2"/>
    <x v="7"/>
    <n v="267188"/>
    <x v="15"/>
    <n v="303"/>
    <x v="1"/>
    <n v="27.62"/>
    <n v="7.67"/>
    <x v="241"/>
    <n v="100412"/>
    <n v="43809"/>
    <x v="2"/>
    <n v="8484"/>
    <n v="881.80528052805278"/>
    <s v="Low"/>
    <n v="0.4602227644954115"/>
    <n v="0.375810290881327"/>
    <n v="0.16396320194020689"/>
    <s v="Good"/>
  </r>
  <r>
    <x v="7"/>
    <x v="5"/>
    <x v="0"/>
    <n v="387522"/>
    <x v="44"/>
    <n v="673"/>
    <x v="2"/>
    <n v="9.15"/>
    <n v="6.74"/>
    <x v="242"/>
    <n v="176104"/>
    <n v="57850"/>
    <x v="1"/>
    <n v="17729"/>
    <n v="575.80980683506687"/>
    <s v="Low"/>
    <n v="0.39627685653975775"/>
    <n v="0.45443613523877352"/>
    <n v="0.1492818472241576"/>
    <s v="Good"/>
  </r>
  <r>
    <x v="4"/>
    <x v="1"/>
    <x v="8"/>
    <n v="628847"/>
    <x v="13"/>
    <n v="478"/>
    <x v="1"/>
    <n v="17.899999999999999"/>
    <n v="7.42"/>
    <x v="243"/>
    <n v="313114"/>
    <n v="85803"/>
    <x v="2"/>
    <n v="23344"/>
    <n v="1315.5774058577406"/>
    <s v="Low"/>
    <n v="0.36563583828816865"/>
    <n v="0.4979176174808817"/>
    <n v="0.13644495401902212"/>
    <s v="Good"/>
  </r>
  <r>
    <x v="4"/>
    <x v="3"/>
    <x v="5"/>
    <n v="245076"/>
    <x v="40"/>
    <n v="816"/>
    <x v="0"/>
    <n v="24.19"/>
    <n v="9.93"/>
    <x v="244"/>
    <n v="85500"/>
    <n v="42939"/>
    <x v="2"/>
    <n v="23687"/>
    <n v="300.33578431372547"/>
    <s v="Low"/>
    <n v="0.47591359415038598"/>
    <n v="0.34887137051363659"/>
    <n v="0.17520687460216422"/>
    <s v="Excellent"/>
  </r>
  <r>
    <x v="1"/>
    <x v="5"/>
    <x v="5"/>
    <n v="261275"/>
    <x v="6"/>
    <n v="561"/>
    <x v="0"/>
    <n v="20.059999999999999"/>
    <n v="5.48"/>
    <x v="245"/>
    <n v="110953"/>
    <n v="53671"/>
    <x v="2"/>
    <n v="14701"/>
    <n v="465.72905525846704"/>
    <s v="Low"/>
    <n v="0.36991675437757154"/>
    <n v="0.42465984116352501"/>
    <n v="0.20541957707396422"/>
    <s v="Good"/>
  </r>
  <r>
    <x v="8"/>
    <x v="5"/>
    <x v="0"/>
    <n v="720205"/>
    <x v="43"/>
    <n v="1900"/>
    <x v="3"/>
    <n v="17.3"/>
    <n v="9.1300000000000008"/>
    <x v="246"/>
    <n v="353403"/>
    <n v="158748"/>
    <x v="3"/>
    <n v="13420"/>
    <n v="379.05473684210529"/>
    <s v="Low"/>
    <n v="0.28888024937344231"/>
    <n v="0.49069778743552184"/>
    <n v="0.22042057469748197"/>
    <s v="Excellent"/>
  </r>
  <r>
    <x v="9"/>
    <x v="5"/>
    <x v="8"/>
    <n v="601944"/>
    <x v="11"/>
    <n v="906"/>
    <x v="2"/>
    <n v="22.82"/>
    <n v="6.73"/>
    <x v="247"/>
    <n v="236845"/>
    <n v="115645"/>
    <x v="4"/>
    <n v="22887"/>
    <n v="664.39514348785872"/>
    <s v="Low"/>
    <n v="0.41441064285049772"/>
    <n v="0.39346683412410455"/>
    <n v="0.19211920045718539"/>
    <s v="Good"/>
  </r>
  <r>
    <x v="8"/>
    <x v="6"/>
    <x v="8"/>
    <n v="488955"/>
    <x v="5"/>
    <n v="1327"/>
    <x v="0"/>
    <n v="34.35"/>
    <n v="8.24"/>
    <x v="248"/>
    <n v="250483"/>
    <n v="93765"/>
    <x v="0"/>
    <n v="12242"/>
    <n v="368.46571213263002"/>
    <s v="Low"/>
    <n v="0.29594952500741378"/>
    <n v="0.51228231636858201"/>
    <n v="0.19176611344602265"/>
    <s v="Excellent"/>
  </r>
  <r>
    <x v="2"/>
    <x v="2"/>
    <x v="7"/>
    <n v="384237"/>
    <x v="37"/>
    <n v="490"/>
    <x v="3"/>
    <n v="31.93"/>
    <n v="7.44"/>
    <x v="249"/>
    <n v="183304"/>
    <n v="50216"/>
    <x v="2"/>
    <n v="18494"/>
    <n v="784.15510204081636"/>
    <s v="Low"/>
    <n v="0.39224749308369572"/>
    <n v="0.4770597313637156"/>
    <n v="0.13069017299218971"/>
    <s v="Good"/>
  </r>
  <r>
    <x v="1"/>
    <x v="5"/>
    <x v="3"/>
    <n v="363843"/>
    <x v="38"/>
    <n v="1176"/>
    <x v="1"/>
    <n v="8.9499999999999993"/>
    <n v="6.24"/>
    <x v="250"/>
    <n v="137847"/>
    <n v="75731"/>
    <x v="2"/>
    <n v="24595"/>
    <n v="309.38860544217687"/>
    <s v="Low"/>
    <n v="0.41298856924552624"/>
    <n v="0.37886396055441496"/>
    <n v="0.20814197332365883"/>
    <s v="Good"/>
  </r>
  <r>
    <x v="4"/>
    <x v="2"/>
    <x v="9"/>
    <n v="886486"/>
    <x v="3"/>
    <n v="2195"/>
    <x v="2"/>
    <n v="29.08"/>
    <n v="6.29"/>
    <x v="251"/>
    <n v="395050"/>
    <n v="175315"/>
    <x v="1"/>
    <n v="24328"/>
    <n v="403.86560364464691"/>
    <s v="Low"/>
    <n v="0.35659897618236497"/>
    <n v="0.44563591528800228"/>
    <n v="0.19776398048023319"/>
    <s v="Good"/>
  </r>
  <r>
    <x v="8"/>
    <x v="2"/>
    <x v="5"/>
    <n v="855105"/>
    <x v="11"/>
    <n v="1417"/>
    <x v="1"/>
    <n v="11.56"/>
    <n v="5.95"/>
    <x v="252"/>
    <n v="424921"/>
    <n v="137278"/>
    <x v="3"/>
    <n v="9075"/>
    <n v="603.46083274523642"/>
    <s v="Low"/>
    <n v="0.34253688143561317"/>
    <n v="0.4969226001485198"/>
    <n v="0.16053934896884009"/>
    <s v="Good"/>
  </r>
  <r>
    <x v="4"/>
    <x v="6"/>
    <x v="8"/>
    <n v="595119"/>
    <x v="40"/>
    <n v="1169"/>
    <x v="0"/>
    <n v="5.28"/>
    <n v="5.42"/>
    <x v="253"/>
    <n v="282105"/>
    <n v="89755"/>
    <x v="4"/>
    <n v="18647"/>
    <n v="509.08212147134304"/>
    <s v="Low"/>
    <n v="0.37514681937562067"/>
    <n v="0.4740312441713338"/>
    <n v="0.1508185757806422"/>
    <s v="Good"/>
  </r>
  <r>
    <x v="1"/>
    <x v="0"/>
    <x v="4"/>
    <n v="582514"/>
    <x v="3"/>
    <n v="1142"/>
    <x v="2"/>
    <n v="2.71"/>
    <n v="7.32"/>
    <x v="254"/>
    <n v="243421"/>
    <n v="113523"/>
    <x v="4"/>
    <n v="13201"/>
    <n v="510.08143607705779"/>
    <s v="Low"/>
    <n v="0.38723361155268371"/>
    <n v="0.41788008528550386"/>
    <n v="0.19488458646487467"/>
    <s v="Good"/>
  </r>
  <r>
    <x v="2"/>
    <x v="2"/>
    <x v="9"/>
    <n v="187297"/>
    <x v="19"/>
    <n v="1042"/>
    <x v="3"/>
    <n v="22.45"/>
    <n v="7.33"/>
    <x v="255"/>
    <n v="75191"/>
    <n v="43109"/>
    <x v="2"/>
    <n v="9617"/>
    <n v="179.74568138195778"/>
    <s v="Low"/>
    <n v="0.36837215758928332"/>
    <n v="0.40145330678014063"/>
    <n v="0.23016385740294826"/>
    <s v="Good"/>
  </r>
  <r>
    <x v="8"/>
    <x v="4"/>
    <x v="2"/>
    <n v="366440"/>
    <x v="31"/>
    <n v="2323"/>
    <x v="2"/>
    <n v="9.92"/>
    <n v="8.59"/>
    <x v="256"/>
    <n v="151422"/>
    <n v="81561"/>
    <x v="0"/>
    <n v="11947"/>
    <n v="157.74343521308651"/>
    <s v="Low"/>
    <n v="0.36419331950660411"/>
    <n v="0.41322453880580723"/>
    <n v="0.22257668376814757"/>
    <s v="Excellent"/>
  </r>
  <r>
    <x v="7"/>
    <x v="0"/>
    <x v="8"/>
    <n v="337754"/>
    <x v="14"/>
    <n v="2366"/>
    <x v="2"/>
    <n v="15.64"/>
    <n v="9.94"/>
    <x v="257"/>
    <n v="182238"/>
    <n v="55799"/>
    <x v="3"/>
    <n v="22444"/>
    <n v="142.75232459847845"/>
    <s v="Low"/>
    <n v="0.29522966419346625"/>
    <n v="0.53955837680678842"/>
    <n v="0.16520603753027352"/>
    <s v="Excellent"/>
  </r>
  <r>
    <x v="5"/>
    <x v="3"/>
    <x v="0"/>
    <n v="320652"/>
    <x v="19"/>
    <n v="2227"/>
    <x v="0"/>
    <n v="27.17"/>
    <n v="9.85"/>
    <x v="258"/>
    <n v="155168"/>
    <n v="65963"/>
    <x v="3"/>
    <n v="16498"/>
    <n v="143.98293668612484"/>
    <s v="Low"/>
    <n v="0.31036450731634296"/>
    <n v="0.48391402517370857"/>
    <n v="0.20571523021842994"/>
    <s v="Excellent"/>
  </r>
  <r>
    <x v="1"/>
    <x v="4"/>
    <x v="1"/>
    <n v="345051"/>
    <x v="16"/>
    <n v="1746"/>
    <x v="1"/>
    <n v="10.98"/>
    <n v="6.42"/>
    <x v="259"/>
    <n v="113710"/>
    <n v="82092"/>
    <x v="0"/>
    <n v="13200"/>
    <n v="197.62256586483392"/>
    <s v="Low"/>
    <n v="0.43253605988679933"/>
    <n v="0.32954548747866258"/>
    <n v="0.23791265638992498"/>
    <s v="Good"/>
  </r>
  <r>
    <x v="4"/>
    <x v="2"/>
    <x v="0"/>
    <n v="571851"/>
    <x v="23"/>
    <n v="701"/>
    <x v="1"/>
    <n v="12.02"/>
    <n v="6.03"/>
    <x v="260"/>
    <n v="222880"/>
    <n v="112831"/>
    <x v="0"/>
    <n v="21944"/>
    <n v="815.76319543509271"/>
    <s v="Low"/>
    <n v="0.41293798559414951"/>
    <n v="0.38975187592572191"/>
    <n v="0.19730838977286042"/>
    <s v="Good"/>
  </r>
  <r>
    <x v="7"/>
    <x v="2"/>
    <x v="3"/>
    <n v="68465"/>
    <x v="37"/>
    <n v="2149"/>
    <x v="1"/>
    <n v="32.729999999999997"/>
    <n v="9.94"/>
    <x v="261"/>
    <n v="29441"/>
    <n v="8549"/>
    <x v="2"/>
    <n v="19800"/>
    <n v="31.858073522568638"/>
    <s v="Low"/>
    <n v="0.44508873146863359"/>
    <n v="0.43001533630322064"/>
    <n v="0.12486672022201124"/>
    <s v="Excellent"/>
  </r>
  <r>
    <x v="8"/>
    <x v="4"/>
    <x v="5"/>
    <n v="193443"/>
    <x v="40"/>
    <n v="2013"/>
    <x v="2"/>
    <n v="9.74"/>
    <n v="9.5"/>
    <x v="262"/>
    <n v="89179"/>
    <n v="23406"/>
    <x v="0"/>
    <n v="24911"/>
    <n v="96.095876800794827"/>
    <s v="Low"/>
    <n v="0.41798359206587987"/>
    <n v="0.46100918616853542"/>
    <n v="0.12099688280268606"/>
    <s v="Excellent"/>
  </r>
  <r>
    <x v="0"/>
    <x v="3"/>
    <x v="6"/>
    <n v="627738"/>
    <x v="15"/>
    <n v="1724"/>
    <x v="1"/>
    <n v="22.77"/>
    <n v="7.6"/>
    <x v="263"/>
    <n v="248286"/>
    <n v="100269"/>
    <x v="1"/>
    <n v="20856"/>
    <n v="364.11600928074245"/>
    <s v="Low"/>
    <n v="0.44474127741191388"/>
    <n v="0.39552488458560736"/>
    <n v="0.15973065195989408"/>
    <s v="Good"/>
  </r>
  <r>
    <x v="0"/>
    <x v="1"/>
    <x v="4"/>
    <n v="672331"/>
    <x v="32"/>
    <n v="1797"/>
    <x v="1"/>
    <n v="13.96"/>
    <n v="6.38"/>
    <x v="264"/>
    <n v="212629"/>
    <n v="162073"/>
    <x v="2"/>
    <n v="8323"/>
    <n v="374.13967723984416"/>
    <s v="Low"/>
    <n v="0.44267927553541336"/>
    <n v="0.31625642726573666"/>
    <n v="0.24106132247360304"/>
    <s v="Good"/>
  </r>
  <r>
    <x v="9"/>
    <x v="5"/>
    <x v="3"/>
    <n v="60675"/>
    <x v="1"/>
    <n v="1476"/>
    <x v="1"/>
    <n v="15.34"/>
    <n v="6.28"/>
    <x v="265"/>
    <n v="30296"/>
    <n v="7802"/>
    <x v="4"/>
    <n v="20403"/>
    <n v="41.106368563685635"/>
    <s v="Low"/>
    <n v="0.37206427688504329"/>
    <n v="0.49931602801812935"/>
    <n v="0.12858673259167697"/>
    <s v="Good"/>
  </r>
  <r>
    <x v="8"/>
    <x v="4"/>
    <x v="5"/>
    <n v="251687"/>
    <x v="46"/>
    <n v="1437"/>
    <x v="0"/>
    <n v="24.79"/>
    <n v="8.8699999999999992"/>
    <x v="266"/>
    <n v="119763"/>
    <n v="41609"/>
    <x v="0"/>
    <n v="18876"/>
    <n v="175.14613778705638"/>
    <s v="Low"/>
    <n v="0.3588306110367242"/>
    <n v="0.47584102476488654"/>
    <n v="0.16532041782054696"/>
    <s v="Excellent"/>
  </r>
  <r>
    <x v="3"/>
    <x v="6"/>
    <x v="6"/>
    <n v="571690"/>
    <x v="0"/>
    <n v="1546"/>
    <x v="2"/>
    <n v="31.27"/>
    <n v="5.49"/>
    <x v="267"/>
    <n v="227240"/>
    <n v="103523"/>
    <x v="1"/>
    <n v="14219"/>
    <n v="369.78525226390684"/>
    <s v="Low"/>
    <n v="0.42142594762895974"/>
    <n v="0.3974881491717539"/>
    <n v="0.18108240479980409"/>
    <s v="Good"/>
  </r>
  <r>
    <x v="0"/>
    <x v="5"/>
    <x v="6"/>
    <n v="881204"/>
    <x v="22"/>
    <n v="1892"/>
    <x v="2"/>
    <n v="23.74"/>
    <n v="8.2200000000000006"/>
    <x v="268"/>
    <n v="392088"/>
    <n v="208351"/>
    <x v="4"/>
    <n v="23138"/>
    <n v="465.75158562367864"/>
    <s v="Low"/>
    <n v="0.31861294320043942"/>
    <n v="0.44494577873001029"/>
    <n v="0.23643900844753316"/>
    <s v="Excellent"/>
  </r>
  <r>
    <x v="3"/>
    <x v="2"/>
    <x v="9"/>
    <n v="445675"/>
    <x v="44"/>
    <n v="1999"/>
    <x v="3"/>
    <n v="19.39"/>
    <n v="6.31"/>
    <x v="269"/>
    <n v="188845"/>
    <n v="69576"/>
    <x v="3"/>
    <n v="14755"/>
    <n v="222.9479739869935"/>
    <s v="Low"/>
    <n v="0.42015369944466258"/>
    <n v="0.42372805295338534"/>
    <n v="0.15611376002692545"/>
    <s v="Good"/>
  </r>
  <r>
    <x v="7"/>
    <x v="2"/>
    <x v="3"/>
    <n v="634356"/>
    <x v="0"/>
    <n v="1202"/>
    <x v="2"/>
    <n v="4.03"/>
    <n v="5.3"/>
    <x v="270"/>
    <n v="298207"/>
    <n v="117862"/>
    <x v="2"/>
    <n v="22158"/>
    <n v="527.7487520798669"/>
    <s v="Low"/>
    <n v="0.34410488747643281"/>
    <n v="0.47009407966504613"/>
    <n v="0.18579788005473266"/>
    <s v="Good"/>
  </r>
  <r>
    <x v="5"/>
    <x v="1"/>
    <x v="4"/>
    <n v="391348"/>
    <x v="2"/>
    <n v="2080"/>
    <x v="1"/>
    <n v="14.58"/>
    <n v="7.43"/>
    <x v="271"/>
    <n v="166181"/>
    <n v="69052"/>
    <x v="1"/>
    <n v="21807"/>
    <n v="188.14759615384617"/>
    <s v="Low"/>
    <n v="0.39891349898300232"/>
    <n v="0.4246374071159173"/>
    <n v="0.17644653863057944"/>
    <s v="Good"/>
  </r>
  <r>
    <x v="3"/>
    <x v="0"/>
    <x v="7"/>
    <n v="569222"/>
    <x v="41"/>
    <n v="1161"/>
    <x v="2"/>
    <n v="19.809999999999999"/>
    <n v="8.34"/>
    <x v="272"/>
    <n v="322188"/>
    <n v="69446"/>
    <x v="0"/>
    <n v="24535"/>
    <n v="490.28509905254089"/>
    <s v="Low"/>
    <n v="0.31198196837086412"/>
    <n v="0.5660146656313354"/>
    <n v="0.12200160921397979"/>
    <s v="Excellent"/>
  </r>
  <r>
    <x v="8"/>
    <x v="3"/>
    <x v="8"/>
    <n v="200678"/>
    <x v="25"/>
    <n v="1158"/>
    <x v="1"/>
    <n v="7.74"/>
    <n v="9"/>
    <x v="273"/>
    <n v="89853"/>
    <n v="31221"/>
    <x v="3"/>
    <n v="14330"/>
    <n v="173.29620034542313"/>
    <s v="Low"/>
    <n v="0.39667028772461355"/>
    <n v="0.44774713720487547"/>
    <n v="0.15557759196324461"/>
    <s v="Excellent"/>
  </r>
  <r>
    <x v="5"/>
    <x v="6"/>
    <x v="4"/>
    <n v="486096"/>
    <x v="10"/>
    <n v="1610"/>
    <x v="3"/>
    <n v="8.0299999999999994"/>
    <n v="6.39"/>
    <x v="274"/>
    <n v="184431"/>
    <n v="122645"/>
    <x v="2"/>
    <n v="9957"/>
    <n v="301.92173913043479"/>
    <s v="Low"/>
    <n v="0.36827704815509693"/>
    <n v="0.3794127086007702"/>
    <n v="0.25230612883051906"/>
    <s v="Good"/>
  </r>
  <r>
    <x v="1"/>
    <x v="5"/>
    <x v="7"/>
    <n v="142221"/>
    <x v="32"/>
    <n v="2014"/>
    <x v="0"/>
    <n v="17.32"/>
    <n v="9.6199999999999992"/>
    <x v="275"/>
    <n v="53321"/>
    <n v="18482"/>
    <x v="3"/>
    <n v="9718"/>
    <n v="70.615193644488585"/>
    <s v="Low"/>
    <n v="0.49511675490961249"/>
    <n v="0.37491650318869929"/>
    <n v="0.12995267928083756"/>
    <s v="Excellent"/>
  </r>
  <r>
    <x v="7"/>
    <x v="1"/>
    <x v="0"/>
    <n v="89574"/>
    <x v="12"/>
    <n v="1828"/>
    <x v="3"/>
    <n v="2.08"/>
    <n v="8.16"/>
    <x v="276"/>
    <n v="35062"/>
    <n v="24555"/>
    <x v="0"/>
    <n v="15496"/>
    <n v="49"/>
    <s v="Low"/>
    <n v="0.33441623685444438"/>
    <n v="0.39143054904324914"/>
    <n v="0.2741308861946547"/>
    <s v="Excellent"/>
  </r>
  <r>
    <x v="9"/>
    <x v="2"/>
    <x v="8"/>
    <n v="475114"/>
    <x v="19"/>
    <n v="2106"/>
    <x v="0"/>
    <n v="10.119999999999999"/>
    <n v="7.58"/>
    <x v="277"/>
    <n v="238981"/>
    <n v="82559"/>
    <x v="3"/>
    <n v="12735"/>
    <n v="225.5997150997151"/>
    <s v="Low"/>
    <n v="0.32323400278669961"/>
    <n v="0.50299717541474254"/>
    <n v="0.17376671704054186"/>
    <s v="Good"/>
  </r>
  <r>
    <x v="9"/>
    <x v="3"/>
    <x v="7"/>
    <n v="145751"/>
    <x v="2"/>
    <n v="609"/>
    <x v="0"/>
    <n v="24.3"/>
    <n v="5.19"/>
    <x v="278"/>
    <n v="78149"/>
    <n v="23693"/>
    <x v="2"/>
    <n v="12573"/>
    <n v="239.32676518883414"/>
    <s v="Low"/>
    <n v="0.30125350769462989"/>
    <n v="0.53618156993777055"/>
    <n v="0.16255806135120857"/>
    <s v="Good"/>
  </r>
  <r>
    <x v="8"/>
    <x v="5"/>
    <x v="1"/>
    <n v="183054"/>
    <x v="25"/>
    <n v="1689"/>
    <x v="0"/>
    <n v="20.47"/>
    <n v="6.21"/>
    <x v="279"/>
    <n v="82008"/>
    <n v="40947"/>
    <x v="2"/>
    <n v="14385"/>
    <n v="108.37951450562463"/>
    <s v="Low"/>
    <n v="0.32830749396352987"/>
    <n v="0.44799895112917498"/>
    <n v="0.22368809203841489"/>
    <s v="Good"/>
  </r>
  <r>
    <x v="0"/>
    <x v="1"/>
    <x v="2"/>
    <n v="106736"/>
    <x v="33"/>
    <n v="1756"/>
    <x v="2"/>
    <n v="8.91"/>
    <n v="5.61"/>
    <x v="280"/>
    <n v="52689"/>
    <n v="16667"/>
    <x v="2"/>
    <n v="19792"/>
    <n v="60.783029612756266"/>
    <s v="Low"/>
    <n v="0.35020049467845898"/>
    <n v="0.49363850996852049"/>
    <n v="0.15615162644281216"/>
    <s v="Good"/>
  </r>
  <r>
    <x v="7"/>
    <x v="1"/>
    <x v="5"/>
    <n v="502000"/>
    <x v="44"/>
    <n v="915"/>
    <x v="0"/>
    <n v="34.56"/>
    <n v="6.34"/>
    <x v="281"/>
    <n v="220551"/>
    <n v="97252"/>
    <x v="0"/>
    <n v="10915"/>
    <n v="548.63169398907098"/>
    <s v="Low"/>
    <n v="0.36692231075697213"/>
    <n v="0.43934462151394421"/>
    <n v="0.19372908366533864"/>
    <s v="Good"/>
  </r>
  <r>
    <x v="1"/>
    <x v="6"/>
    <x v="3"/>
    <n v="804142"/>
    <x v="21"/>
    <n v="1114"/>
    <x v="0"/>
    <n v="29.19"/>
    <n v="7.21"/>
    <x v="282"/>
    <n v="412686"/>
    <n v="135077"/>
    <x v="4"/>
    <n v="22121"/>
    <n v="721.84919210053863"/>
    <s v="Low"/>
    <n v="0.31882055656836727"/>
    <n v="0.51320040490361152"/>
    <n v="0.16797655140510009"/>
    <s v="Good"/>
  </r>
  <r>
    <x v="3"/>
    <x v="5"/>
    <x v="8"/>
    <n v="149040"/>
    <x v="35"/>
    <n v="1076"/>
    <x v="0"/>
    <n v="5.08"/>
    <n v="5.69"/>
    <x v="283"/>
    <n v="64868"/>
    <n v="30350"/>
    <x v="1"/>
    <n v="14614"/>
    <n v="138.51208178438662"/>
    <s v="Low"/>
    <n v="0.36111782071927001"/>
    <n v="0.43523886205045625"/>
    <n v="0.20363660762211486"/>
    <s v="Good"/>
  </r>
  <r>
    <x v="5"/>
    <x v="3"/>
    <x v="8"/>
    <n v="839753"/>
    <x v="31"/>
    <n v="1643"/>
    <x v="0"/>
    <n v="10.94"/>
    <n v="9.8800000000000008"/>
    <x v="284"/>
    <n v="354784"/>
    <n v="185663"/>
    <x v="1"/>
    <n v="18464"/>
    <n v="511.10894704808277"/>
    <s v="Low"/>
    <n v="0.35642028072540377"/>
    <n v="0.42248613580421862"/>
    <n v="0.22109239264402747"/>
    <s v="Excellent"/>
  </r>
  <r>
    <x v="0"/>
    <x v="5"/>
    <x v="6"/>
    <n v="662208"/>
    <x v="4"/>
    <n v="2130"/>
    <x v="1"/>
    <n v="34.01"/>
    <n v="9.51"/>
    <x v="285"/>
    <n v="283358"/>
    <n v="96436"/>
    <x v="4"/>
    <n v="21563"/>
    <n v="310.89530516431927"/>
    <s v="Low"/>
    <n v="0.42647174301729968"/>
    <n v="0.42789878708804485"/>
    <n v="0.1456279597951097"/>
    <s v="Excellent"/>
  </r>
  <r>
    <x v="0"/>
    <x v="3"/>
    <x v="8"/>
    <n v="784287"/>
    <x v="4"/>
    <n v="927"/>
    <x v="2"/>
    <n v="13.21"/>
    <n v="6.64"/>
    <x v="286"/>
    <n v="319759"/>
    <n v="166238"/>
    <x v="0"/>
    <n v="13328"/>
    <n v="846.04746494066887"/>
    <s v="Low"/>
    <n v="0.38033143479364057"/>
    <n v="0.40770661760299481"/>
    <n v="0.21196067255991749"/>
    <s v="Good"/>
  </r>
  <r>
    <x v="9"/>
    <x v="0"/>
    <x v="2"/>
    <n v="245611"/>
    <x v="38"/>
    <n v="440"/>
    <x v="2"/>
    <n v="4.74"/>
    <n v="9.86"/>
    <x v="287"/>
    <n v="101596"/>
    <n v="51813"/>
    <x v="1"/>
    <n v="18278"/>
    <n v="558.2045454545455"/>
    <s v="Low"/>
    <n v="0.37539442451681726"/>
    <n v="0.41364596862518371"/>
    <n v="0.21095553537911577"/>
    <s v="Excellent"/>
  </r>
  <r>
    <x v="3"/>
    <x v="1"/>
    <x v="3"/>
    <n v="874455"/>
    <x v="9"/>
    <n v="2009"/>
    <x v="0"/>
    <n v="12.79"/>
    <n v="8.64"/>
    <x v="288"/>
    <n v="463105"/>
    <n v="169649"/>
    <x v="4"/>
    <n v="12690"/>
    <n v="435.26829268292681"/>
    <s v="Low"/>
    <n v="0.27640072959729201"/>
    <n v="0.52959271774991279"/>
    <n v="0.19400540908337194"/>
    <s v="Excellent"/>
  </r>
  <r>
    <x v="7"/>
    <x v="0"/>
    <x v="1"/>
    <n v="609052"/>
    <x v="35"/>
    <n v="2446"/>
    <x v="2"/>
    <n v="12.58"/>
    <n v="6.02"/>
    <x v="289"/>
    <n v="286520"/>
    <n v="73225"/>
    <x v="3"/>
    <n v="9599"/>
    <n v="248.99877350776779"/>
    <s v="Low"/>
    <n v="0.40933450674162469"/>
    <n v="0.47043602188318895"/>
    <n v="0.12022782947925628"/>
    <s v="Good"/>
  </r>
  <r>
    <x v="1"/>
    <x v="0"/>
    <x v="7"/>
    <n v="156193"/>
    <x v="1"/>
    <n v="2460"/>
    <x v="1"/>
    <n v="34.08"/>
    <n v="9.69"/>
    <x v="290"/>
    <n v="75475"/>
    <n v="32041"/>
    <x v="1"/>
    <n v="20181"/>
    <n v="63.492682926829268"/>
    <s v="Low"/>
    <n v="0.3116400863034835"/>
    <n v="0.4832162772979583"/>
    <n v="0.20513723406298617"/>
    <s v="Excellent"/>
  </r>
  <r>
    <x v="9"/>
    <x v="3"/>
    <x v="4"/>
    <n v="107713"/>
    <x v="9"/>
    <n v="1752"/>
    <x v="1"/>
    <n v="18.350000000000001"/>
    <n v="7.16"/>
    <x v="291"/>
    <n v="49311"/>
    <n v="18983"/>
    <x v="2"/>
    <n v="22206"/>
    <n v="61.479452054794521"/>
    <s v="Low"/>
    <n v="0.3659539702728547"/>
    <n v="0.45779989416319294"/>
    <n v="0.17623685163350755"/>
    <s v="Good"/>
  </r>
  <r>
    <x v="1"/>
    <x v="5"/>
    <x v="3"/>
    <n v="242861"/>
    <x v="32"/>
    <n v="1708"/>
    <x v="0"/>
    <n v="11.78"/>
    <n v="6.57"/>
    <x v="292"/>
    <n v="124199"/>
    <n v="39406"/>
    <x v="1"/>
    <n v="16998"/>
    <n v="142.18911007025761"/>
    <s v="Low"/>
    <n v="0.32633481703525885"/>
    <n v="0.5113995248310762"/>
    <n v="0.16225742297034107"/>
    <s v="Good"/>
  </r>
  <r>
    <x v="4"/>
    <x v="6"/>
    <x v="2"/>
    <n v="287511"/>
    <x v="34"/>
    <n v="1403"/>
    <x v="0"/>
    <n v="23.1"/>
    <n v="7.26"/>
    <x v="293"/>
    <n v="120665"/>
    <n v="56555"/>
    <x v="3"/>
    <n v="19890"/>
    <n v="204.92516037063436"/>
    <s v="Low"/>
    <n v="0.38360271433092996"/>
    <n v="0.41968829018715803"/>
    <n v="0.19670551735411862"/>
    <s v="Good"/>
  </r>
  <r>
    <x v="1"/>
    <x v="4"/>
    <x v="5"/>
    <n v="755413"/>
    <x v="26"/>
    <n v="1091"/>
    <x v="2"/>
    <n v="13.9"/>
    <n v="5.22"/>
    <x v="294"/>
    <n v="293528"/>
    <n v="198253"/>
    <x v="3"/>
    <n v="20983"/>
    <n v="692.40329972502286"/>
    <s v="Low"/>
    <n v="0.34898922840883068"/>
    <n v="0.38856625448595666"/>
    <n v="0.26244319332603488"/>
    <s v="Good"/>
  </r>
  <r>
    <x v="9"/>
    <x v="1"/>
    <x v="9"/>
    <n v="354360"/>
    <x v="32"/>
    <n v="1282"/>
    <x v="0"/>
    <n v="28.71"/>
    <n v="6.71"/>
    <x v="295"/>
    <n v="146305"/>
    <n v="78217"/>
    <x v="3"/>
    <n v="15913"/>
    <n v="276.41029641185645"/>
    <s v="Low"/>
    <n v="0.36639575572863753"/>
    <n v="0.41287109154532114"/>
    <n v="0.22072750874816571"/>
    <s v="Good"/>
  </r>
  <r>
    <x v="1"/>
    <x v="4"/>
    <x v="4"/>
    <n v="683702"/>
    <x v="18"/>
    <n v="1245"/>
    <x v="0"/>
    <n v="4.46"/>
    <n v="6.45"/>
    <x v="296"/>
    <n v="274564"/>
    <n v="163409"/>
    <x v="4"/>
    <n v="23996"/>
    <n v="549.15742971887551"/>
    <s v="Low"/>
    <n v="0.35940804619556471"/>
    <n v="0.40158431597391847"/>
    <n v="0.23900617520498696"/>
    <s v="Good"/>
  </r>
  <r>
    <x v="9"/>
    <x v="5"/>
    <x v="4"/>
    <n v="830401"/>
    <x v="40"/>
    <n v="1079"/>
    <x v="0"/>
    <n v="19.62"/>
    <n v="6.09"/>
    <x v="297"/>
    <n v="377231"/>
    <n v="161369"/>
    <x v="1"/>
    <n v="19699"/>
    <n v="769.60055607043557"/>
    <s v="Low"/>
    <n v="0.35139528974555667"/>
    <n v="0.45427570535199258"/>
    <n v="0.19432659642750913"/>
    <s v="Good"/>
  </r>
  <r>
    <x v="5"/>
    <x v="0"/>
    <x v="2"/>
    <n v="616811"/>
    <x v="20"/>
    <n v="401"/>
    <x v="2"/>
    <n v="16.45"/>
    <n v="8.3000000000000007"/>
    <x v="298"/>
    <n v="241682"/>
    <n v="144339"/>
    <x v="0"/>
    <n v="12846"/>
    <n v="1538.1795511221944"/>
    <s v="Low"/>
    <n v="0.37416485763061941"/>
    <n v="0.39182504851567174"/>
    <n v="0.2340084726115455"/>
    <s v="Excellent"/>
  </r>
  <r>
    <x v="7"/>
    <x v="5"/>
    <x v="4"/>
    <n v="100622"/>
    <x v="41"/>
    <n v="1519"/>
    <x v="0"/>
    <n v="21.14"/>
    <n v="7.88"/>
    <x v="299"/>
    <n v="51104"/>
    <n v="13381"/>
    <x v="0"/>
    <n v="24208"/>
    <n v="66.240947992100061"/>
    <s v="Low"/>
    <n v="0.35911629663493072"/>
    <n v="0.50788098030251838"/>
    <n v="0.13298284669356603"/>
    <s v="Good"/>
  </r>
  <r>
    <x v="5"/>
    <x v="4"/>
    <x v="2"/>
    <n v="605627"/>
    <x v="40"/>
    <n v="1626"/>
    <x v="3"/>
    <n v="18.23"/>
    <n v="5.69"/>
    <x v="300"/>
    <n v="212292"/>
    <n v="133272"/>
    <x v="0"/>
    <n v="9821"/>
    <n v="372.46371463714638"/>
    <s v="Low"/>
    <n v="0.42940952104182939"/>
    <n v="0.35053258854047126"/>
    <n v="0.22005623923636167"/>
    <s v="Good"/>
  </r>
  <r>
    <x v="8"/>
    <x v="4"/>
    <x v="7"/>
    <n v="191336"/>
    <x v="19"/>
    <n v="2450"/>
    <x v="0"/>
    <n v="34.049999999999997"/>
    <n v="9.74"/>
    <x v="301"/>
    <n v="84131"/>
    <n v="41330"/>
    <x v="2"/>
    <n v="22660"/>
    <n v="78.095510204081634"/>
    <s v="Low"/>
    <n v="0.34427917380942424"/>
    <n v="0.43970293096960322"/>
    <n v="0.2160074424049839"/>
    <s v="Excellent"/>
  </r>
  <r>
    <x v="8"/>
    <x v="0"/>
    <x v="4"/>
    <n v="270807"/>
    <x v="40"/>
    <n v="1090"/>
    <x v="1"/>
    <n v="18.18"/>
    <n v="7.04"/>
    <x v="302"/>
    <n v="126246"/>
    <n v="43319"/>
    <x v="3"/>
    <n v="22867"/>
    <n v="248.44587155963302"/>
    <s v="Low"/>
    <n v="0.37384927272928692"/>
    <n v="0.46618440439131925"/>
    <n v="0.15996263021266069"/>
    <s v="Good"/>
  </r>
  <r>
    <x v="3"/>
    <x v="1"/>
    <x v="2"/>
    <n v="499956"/>
    <x v="17"/>
    <n v="1214"/>
    <x v="1"/>
    <n v="19.86"/>
    <n v="8.44"/>
    <x v="303"/>
    <n v="219736"/>
    <n v="104774"/>
    <x v="3"/>
    <n v="22759"/>
    <n v="411.82372322899505"/>
    <s v="Low"/>
    <n v="0.35091888086151579"/>
    <n v="0.43951067693957069"/>
    <n v="0.20956644184688253"/>
    <s v="Excellent"/>
  </r>
  <r>
    <x v="4"/>
    <x v="4"/>
    <x v="0"/>
    <n v="784387"/>
    <x v="12"/>
    <n v="2044"/>
    <x v="3"/>
    <n v="34.380000000000003"/>
    <n v="8.89"/>
    <x v="304"/>
    <n v="336997"/>
    <n v="122382"/>
    <x v="3"/>
    <n v="16314"/>
    <n v="383.75"/>
    <s v="Low"/>
    <n v="0.4143439399174132"/>
    <n v="0.42963103672039438"/>
    <n v="0.15602247360040389"/>
    <s v="Excellent"/>
  </r>
  <r>
    <x v="7"/>
    <x v="5"/>
    <x v="5"/>
    <n v="518387"/>
    <x v="9"/>
    <n v="1350"/>
    <x v="3"/>
    <n v="23.66"/>
    <n v="5.55"/>
    <x v="305"/>
    <n v="188693"/>
    <n v="105612"/>
    <x v="0"/>
    <n v="10080"/>
    <n v="383.98888888888888"/>
    <s v="Low"/>
    <n v="0.43226392637161037"/>
    <n v="0.36400025463601515"/>
    <n v="0.20373196087093234"/>
    <s v="Good"/>
  </r>
  <r>
    <x v="6"/>
    <x v="4"/>
    <x v="9"/>
    <n v="485525"/>
    <x v="28"/>
    <n v="561"/>
    <x v="3"/>
    <n v="2.38"/>
    <n v="8.84"/>
    <x v="306"/>
    <n v="184012"/>
    <n v="91596"/>
    <x v="4"/>
    <n v="16835"/>
    <n v="865.45989304812838"/>
    <s v="Low"/>
    <n v="0.43234642912311416"/>
    <n v="0.37899593223829875"/>
    <n v="0.1886535193862314"/>
    <s v="Excellent"/>
  </r>
  <r>
    <x v="9"/>
    <x v="0"/>
    <x v="0"/>
    <n v="695050"/>
    <x v="46"/>
    <n v="2000"/>
    <x v="2"/>
    <n v="26.05"/>
    <n v="8.93"/>
    <x v="307"/>
    <n v="258188"/>
    <n v="197675"/>
    <x v="3"/>
    <n v="23396"/>
    <n v="347.52449999999999"/>
    <s v="Low"/>
    <n v="0.34412776059276312"/>
    <n v="0.37146680094957196"/>
    <n v="0.28440399971225094"/>
    <s v="Excellent"/>
  </r>
  <r>
    <x v="4"/>
    <x v="4"/>
    <x v="5"/>
    <n v="249860"/>
    <x v="48"/>
    <n v="670"/>
    <x v="2"/>
    <n v="9.18"/>
    <n v="5.19"/>
    <x v="308"/>
    <n v="99561"/>
    <n v="52790"/>
    <x v="3"/>
    <n v="20625"/>
    <n v="372.92238805970152"/>
    <s v="Low"/>
    <n v="0.39024653806131432"/>
    <n v="0.39846714159929558"/>
    <n v="0.21127831585687984"/>
    <s v="Good"/>
  </r>
  <r>
    <x v="4"/>
    <x v="6"/>
    <x v="7"/>
    <n v="165812"/>
    <x v="48"/>
    <n v="586"/>
    <x v="1"/>
    <n v="32.24"/>
    <n v="9.98"/>
    <x v="309"/>
    <n v="74442"/>
    <n v="40675"/>
    <x v="2"/>
    <n v="14687"/>
    <n v="282.95392491467578"/>
    <s v="Low"/>
    <n v="0.30573179263262007"/>
    <n v="0.44895423732902323"/>
    <n v="0.24530793911176513"/>
    <s v="Excellent"/>
  </r>
  <r>
    <x v="2"/>
    <x v="3"/>
    <x v="7"/>
    <n v="744248"/>
    <x v="27"/>
    <n v="776"/>
    <x v="0"/>
    <n v="20.83"/>
    <n v="8.73"/>
    <x v="310"/>
    <n v="374553"/>
    <n v="120314"/>
    <x v="1"/>
    <n v="11648"/>
    <n v="959.08118556701027"/>
    <s v="Low"/>
    <n v="0.33507647988304973"/>
    <n v="0.50326369704722085"/>
    <n v="0.16165847943158732"/>
    <s v="Excellent"/>
  </r>
  <r>
    <x v="9"/>
    <x v="5"/>
    <x v="7"/>
    <n v="671770"/>
    <x v="15"/>
    <n v="2467"/>
    <x v="0"/>
    <n v="2.0499999999999998"/>
    <n v="5.59"/>
    <x v="311"/>
    <n v="319132"/>
    <n v="170146"/>
    <x v="3"/>
    <n v="18276"/>
    <n v="272.30158086745035"/>
    <s v="Low"/>
    <n v="0.27165547732110695"/>
    <n v="0.47506140494514493"/>
    <n v="0.2532801405242866"/>
    <s v="Good"/>
  </r>
  <r>
    <x v="8"/>
    <x v="5"/>
    <x v="6"/>
    <n v="110820"/>
    <x v="29"/>
    <n v="1288"/>
    <x v="1"/>
    <n v="13.28"/>
    <n v="7.71"/>
    <x v="312"/>
    <n v="50035"/>
    <n v="24886"/>
    <x v="4"/>
    <n v="17960"/>
    <n v="86.03959627329192"/>
    <s v="Low"/>
    <n v="0.32393069842988631"/>
    <n v="0.45149792456235338"/>
    <n v="0.22456235336581845"/>
    <s v="Good"/>
  </r>
  <r>
    <x v="9"/>
    <x v="0"/>
    <x v="6"/>
    <n v="675080"/>
    <x v="24"/>
    <n v="2188"/>
    <x v="2"/>
    <n v="2.39"/>
    <n v="5.56"/>
    <x v="313"/>
    <n v="281198"/>
    <n v="136672"/>
    <x v="2"/>
    <n v="17112"/>
    <n v="308.53656307129796"/>
    <s v="Low"/>
    <n v="0.38100373289091666"/>
    <n v="0.41654026189488652"/>
    <n v="0.20245304260235825"/>
    <s v="Good"/>
  </r>
  <r>
    <x v="2"/>
    <x v="5"/>
    <x v="1"/>
    <n v="129391"/>
    <x v="6"/>
    <n v="494"/>
    <x v="0"/>
    <n v="15.84"/>
    <n v="8"/>
    <x v="314"/>
    <n v="45410"/>
    <n v="30493"/>
    <x v="1"/>
    <n v="14921"/>
    <n v="261.92307692307691"/>
    <s v="Low"/>
    <n v="0.41337496425562831"/>
    <n v="0.35095176635160097"/>
    <n v="0.23566554087996847"/>
    <s v="Excellent"/>
  </r>
  <r>
    <x v="3"/>
    <x v="2"/>
    <x v="1"/>
    <n v="402820"/>
    <x v="37"/>
    <n v="328"/>
    <x v="1"/>
    <n v="5.39"/>
    <n v="7.34"/>
    <x v="315"/>
    <n v="209994"/>
    <n v="74670"/>
    <x v="0"/>
    <n v="15363"/>
    <n v="1228.1036585365853"/>
    <s v="Low"/>
    <n v="0.2933171143438757"/>
    <n v="0.52130976614865199"/>
    <n v="0.18536815451069957"/>
    <s v="Good"/>
  </r>
  <r>
    <x v="5"/>
    <x v="2"/>
    <x v="8"/>
    <n v="834335"/>
    <x v="36"/>
    <n v="1377"/>
    <x v="3"/>
    <n v="16.36"/>
    <n v="9.9"/>
    <x v="316"/>
    <n v="342060"/>
    <n v="154849"/>
    <x v="4"/>
    <n v="9855"/>
    <n v="605.90704429920117"/>
    <s v="Low"/>
    <n v="0.40442388249324313"/>
    <n v="0.40997920499559531"/>
    <n v="0.18559571395182989"/>
    <s v="Excellent"/>
  </r>
  <r>
    <x v="7"/>
    <x v="5"/>
    <x v="6"/>
    <n v="743264"/>
    <x v="34"/>
    <n v="969"/>
    <x v="3"/>
    <n v="17.03"/>
    <n v="7.18"/>
    <x v="317"/>
    <n v="376720"/>
    <n v="92050"/>
    <x v="0"/>
    <n v="22909"/>
    <n v="767.04024767801855"/>
    <s v="Low"/>
    <n v="0.36930619537607096"/>
    <n v="0.50684548155164244"/>
    <n v="0.1238456322383433"/>
    <s v="Good"/>
  </r>
  <r>
    <x v="6"/>
    <x v="1"/>
    <x v="4"/>
    <n v="116902"/>
    <x v="42"/>
    <n v="2331"/>
    <x v="0"/>
    <n v="24.54"/>
    <n v="5.38"/>
    <x v="318"/>
    <n v="55817"/>
    <n v="14286"/>
    <x v="2"/>
    <n v="14005"/>
    <n v="50.150579150579148"/>
    <s v="Low"/>
    <n v="0.400318215257224"/>
    <n v="0.47746830678688135"/>
    <n v="0.12220492378231339"/>
    <s v="Good"/>
  </r>
  <r>
    <x v="8"/>
    <x v="2"/>
    <x v="0"/>
    <n v="476302"/>
    <x v="34"/>
    <n v="1144"/>
    <x v="0"/>
    <n v="26.42"/>
    <n v="6.94"/>
    <x v="319"/>
    <n v="225542"/>
    <n v="112196"/>
    <x v="3"/>
    <n v="19499"/>
    <n v="416.34702797202794"/>
    <s v="Low"/>
    <n v="0.29091416790187741"/>
    <n v="0.47352729990636194"/>
    <n v="0.23555643268346554"/>
    <s v="Good"/>
  </r>
  <r>
    <x v="1"/>
    <x v="0"/>
    <x v="8"/>
    <n v="642236"/>
    <x v="8"/>
    <n v="1017"/>
    <x v="2"/>
    <n v="34.770000000000003"/>
    <n v="9.5299999999999994"/>
    <x v="320"/>
    <n v="258469"/>
    <n v="128009"/>
    <x v="0"/>
    <n v="13745"/>
    <n v="631.49950835791549"/>
    <s v="Low"/>
    <n v="0.39822899993148936"/>
    <n v="0.40245174670993217"/>
    <n v="0.19931769629855692"/>
    <s v="Excellent"/>
  </r>
  <r>
    <x v="0"/>
    <x v="4"/>
    <x v="9"/>
    <n v="763799"/>
    <x v="9"/>
    <n v="1099"/>
    <x v="0"/>
    <n v="7.98"/>
    <n v="8.6199999999999992"/>
    <x v="321"/>
    <n v="307948"/>
    <n v="156968"/>
    <x v="0"/>
    <n v="11435"/>
    <n v="694.99272065514106"/>
    <s v="Low"/>
    <n v="0.39130844633208473"/>
    <n v="0.40317937048883279"/>
    <n v="0.20550956468913942"/>
    <s v="Excellent"/>
  </r>
  <r>
    <x v="3"/>
    <x v="2"/>
    <x v="6"/>
    <n v="396320"/>
    <x v="46"/>
    <n v="344"/>
    <x v="0"/>
    <n v="10.02"/>
    <n v="9.24"/>
    <x v="322"/>
    <n v="158161"/>
    <n v="70108"/>
    <x v="2"/>
    <n v="9763"/>
    <n v="1152.0872093023256"/>
    <s v="Low"/>
    <n v="0.4240235163504239"/>
    <n v="0.39907398062171984"/>
    <n v="0.1768974566007267"/>
    <s v="Excellent"/>
  </r>
  <r>
    <x v="2"/>
    <x v="2"/>
    <x v="1"/>
    <n v="325294"/>
    <x v="43"/>
    <n v="2346"/>
    <x v="0"/>
    <n v="8.8000000000000007"/>
    <n v="6.43"/>
    <x v="323"/>
    <n v="114748"/>
    <n v="85865"/>
    <x v="3"/>
    <n v="18128"/>
    <n v="138.65856777493607"/>
    <s v="Low"/>
    <n v="0.38328404458735787"/>
    <n v="0.35275166464797997"/>
    <n v="0.26396121662250149"/>
    <s v="Good"/>
  </r>
  <r>
    <x v="7"/>
    <x v="6"/>
    <x v="7"/>
    <n v="595330"/>
    <x v="18"/>
    <n v="2089"/>
    <x v="0"/>
    <n v="7.01"/>
    <n v="7.27"/>
    <x v="324"/>
    <n v="205803"/>
    <n v="109218"/>
    <x v="3"/>
    <n v="22793"/>
    <n v="284.98276687410242"/>
    <s v="Low"/>
    <n v="0.47084474157190132"/>
    <n v="0.34569566458938739"/>
    <n v="0.18345791409806325"/>
    <s v="Good"/>
  </r>
  <r>
    <x v="9"/>
    <x v="4"/>
    <x v="0"/>
    <n v="539162"/>
    <x v="41"/>
    <n v="2371"/>
    <x v="1"/>
    <n v="11.75"/>
    <n v="9.7899999999999991"/>
    <x v="325"/>
    <n v="187678"/>
    <n v="133235"/>
    <x v="0"/>
    <n v="15363"/>
    <n v="227.39814424293547"/>
    <s v="Low"/>
    <n v="0.40479113884138718"/>
    <n v="0.34809203912738657"/>
    <n v="0.24711496730110802"/>
    <s v="Excellent"/>
  </r>
  <r>
    <x v="3"/>
    <x v="1"/>
    <x v="6"/>
    <n v="211717"/>
    <x v="37"/>
    <n v="860"/>
    <x v="0"/>
    <n v="29.23"/>
    <n v="5.0199999999999996"/>
    <x v="326"/>
    <n v="85617"/>
    <n v="46347"/>
    <x v="1"/>
    <n v="14022"/>
    <n v="246.18023255813952"/>
    <s v="Low"/>
    <n v="0.37668680361048001"/>
    <n v="0.40439360089175647"/>
    <n v="0.21891014892521621"/>
    <s v="Good"/>
  </r>
  <r>
    <x v="3"/>
    <x v="4"/>
    <x v="6"/>
    <n v="282167"/>
    <x v="25"/>
    <n v="1136"/>
    <x v="3"/>
    <n v="23.36"/>
    <n v="6.89"/>
    <x v="327"/>
    <n v="136793"/>
    <n v="43663"/>
    <x v="3"/>
    <n v="18874"/>
    <n v="248.38468309859155"/>
    <s v="Low"/>
    <n v="0.36045675078942613"/>
    <n v="0.48479446568875878"/>
    <n v="0.15474169552073772"/>
    <s v="Good"/>
  </r>
  <r>
    <x v="2"/>
    <x v="3"/>
    <x v="6"/>
    <n v="72116"/>
    <x v="17"/>
    <n v="1493"/>
    <x v="0"/>
    <n v="18.98"/>
    <n v="9.0500000000000007"/>
    <x v="328"/>
    <n v="30352"/>
    <n v="14136"/>
    <x v="1"/>
    <n v="8932"/>
    <n v="48.301406563965173"/>
    <s v="Low"/>
    <n v="0.38307726440734374"/>
    <n v="0.42087747517887847"/>
    <n v="0.19601752731710023"/>
    <s v="Excellent"/>
  </r>
  <r>
    <x v="1"/>
    <x v="0"/>
    <x v="4"/>
    <n v="808692"/>
    <x v="43"/>
    <n v="1222"/>
    <x v="1"/>
    <n v="30.82"/>
    <n v="8.6"/>
    <x v="329"/>
    <n v="402865"/>
    <n v="176439"/>
    <x v="1"/>
    <n v="20471"/>
    <n v="661.77577741407526"/>
    <s v="Low"/>
    <n v="0.28365063584158123"/>
    <n v="0.49816864764335494"/>
    <n v="0.21817824338561528"/>
    <s v="Excellent"/>
  </r>
  <r>
    <x v="0"/>
    <x v="1"/>
    <x v="0"/>
    <n v="385007"/>
    <x v="21"/>
    <n v="1524"/>
    <x v="0"/>
    <n v="3.26"/>
    <n v="7.79"/>
    <x v="330"/>
    <n v="203160"/>
    <n v="70048"/>
    <x v="4"/>
    <n v="11652"/>
    <n v="252.62795275590551"/>
    <s v="Low"/>
    <n v="0.29037653860838891"/>
    <n v="0.5276787175298111"/>
    <n v="0.1819395491510544"/>
    <s v="Good"/>
  </r>
  <r>
    <x v="2"/>
    <x v="4"/>
    <x v="8"/>
    <n v="886496"/>
    <x v="47"/>
    <n v="1770"/>
    <x v="1"/>
    <n v="19.47"/>
    <n v="5.23"/>
    <x v="331"/>
    <n v="404467"/>
    <n v="129870"/>
    <x v="4"/>
    <n v="15615"/>
    <n v="500.84463276836158"/>
    <s v="Low"/>
    <n v="0.39724713929899291"/>
    <n v="0.45625360971735912"/>
    <n v="0.14649812294697326"/>
    <s v="Good"/>
  </r>
  <r>
    <x v="1"/>
    <x v="3"/>
    <x v="1"/>
    <n v="288477"/>
    <x v="44"/>
    <n v="1487"/>
    <x v="1"/>
    <n v="11.94"/>
    <n v="8.68"/>
    <x v="332"/>
    <n v="103145"/>
    <n v="66564"/>
    <x v="3"/>
    <n v="14742"/>
    <n v="193.99865501008742"/>
    <s v="Low"/>
    <n v="0.4117035326906478"/>
    <n v="0.35755016864429401"/>
    <n v="0.23074283218419492"/>
    <s v="Excellent"/>
  </r>
  <r>
    <x v="5"/>
    <x v="3"/>
    <x v="8"/>
    <n v="589838"/>
    <x v="6"/>
    <n v="1206"/>
    <x v="2"/>
    <n v="30.58"/>
    <n v="6.02"/>
    <x v="333"/>
    <n v="272738"/>
    <n v="147039"/>
    <x v="3"/>
    <n v="14832"/>
    <n v="489.08540630182421"/>
    <s v="Low"/>
    <n v="0.28831645299217751"/>
    <n v="0.46239475923897749"/>
    <n v="0.24928709238807945"/>
    <s v="Good"/>
  </r>
  <r>
    <x v="4"/>
    <x v="1"/>
    <x v="3"/>
    <n v="387149"/>
    <x v="27"/>
    <n v="2079"/>
    <x v="1"/>
    <n v="7.67"/>
    <n v="7.06"/>
    <x v="334"/>
    <n v="166150"/>
    <n v="101552"/>
    <x v="3"/>
    <n v="14258"/>
    <n v="186.21789321789322"/>
    <s v="Low"/>
    <n v="0.30852462488602578"/>
    <n v="0.42916293210107737"/>
    <n v="0.26230727704320561"/>
    <s v="Good"/>
  </r>
  <r>
    <x v="7"/>
    <x v="3"/>
    <x v="3"/>
    <n v="663563"/>
    <x v="22"/>
    <n v="635"/>
    <x v="1"/>
    <n v="29.22"/>
    <n v="9.5299999999999994"/>
    <x v="335"/>
    <n v="303607"/>
    <n v="103612"/>
    <x v="0"/>
    <n v="12628"/>
    <n v="1044.9779527559056"/>
    <s v="Low"/>
    <n v="0.38631147306284408"/>
    <n v="0.45754058017098603"/>
    <n v="0.15614493273434474"/>
    <s v="Excellent"/>
  </r>
  <r>
    <x v="9"/>
    <x v="0"/>
    <x v="3"/>
    <n v="569393"/>
    <x v="18"/>
    <n v="454"/>
    <x v="0"/>
    <n v="30.22"/>
    <n v="6.78"/>
    <x v="336"/>
    <n v="250261"/>
    <n v="115321"/>
    <x v="3"/>
    <n v="23583"/>
    <n v="1254.1674008810573"/>
    <s v="Low"/>
    <n v="0.35794258095902126"/>
    <n v="0.43952243880764252"/>
    <n v="0.20253322397711246"/>
    <s v="Good"/>
  </r>
  <r>
    <x v="2"/>
    <x v="4"/>
    <x v="4"/>
    <n v="689413"/>
    <x v="16"/>
    <n v="868"/>
    <x v="3"/>
    <n v="11.83"/>
    <n v="8.3000000000000007"/>
    <x v="337"/>
    <n v="284974"/>
    <n v="144159"/>
    <x v="1"/>
    <n v="20170"/>
    <n v="794.25345622119812"/>
    <s v="Low"/>
    <n v="0.37753712216044666"/>
    <n v="0.41335745046873207"/>
    <n v="0.20910397686147492"/>
    <s v="Excellent"/>
  </r>
  <r>
    <x v="5"/>
    <x v="3"/>
    <x v="7"/>
    <n v="816432"/>
    <x v="13"/>
    <n v="1970"/>
    <x v="2"/>
    <n v="2.27"/>
    <n v="9.61"/>
    <x v="338"/>
    <n v="415880"/>
    <n v="97405"/>
    <x v="0"/>
    <n v="8444"/>
    <n v="414.43147208121826"/>
    <s v="Low"/>
    <n v="0.37130465243890487"/>
    <n v="0.50938718717541698"/>
    <n v="0.11930571070217728"/>
    <s v="Excellent"/>
  </r>
  <r>
    <x v="2"/>
    <x v="0"/>
    <x v="3"/>
    <n v="891378"/>
    <x v="22"/>
    <n v="1541"/>
    <x v="2"/>
    <n v="19.649999999999999"/>
    <n v="9.1300000000000008"/>
    <x v="339"/>
    <n v="382553"/>
    <n v="121290"/>
    <x v="1"/>
    <n v="24562"/>
    <n v="578.43997404282936"/>
    <s v="Low"/>
    <n v="0.43475719616144892"/>
    <n v="0.42917034075330557"/>
    <n v="0.13607021936821415"/>
    <s v="Excellent"/>
  </r>
  <r>
    <x v="8"/>
    <x v="5"/>
    <x v="6"/>
    <n v="333975"/>
    <x v="1"/>
    <n v="2446"/>
    <x v="0"/>
    <n v="30.03"/>
    <n v="9.24"/>
    <x v="340"/>
    <n v="150833"/>
    <n v="56529"/>
    <x v="0"/>
    <n v="13499"/>
    <n v="136.53843008994275"/>
    <s v="Low"/>
    <n v="0.37910322628939291"/>
    <n v="0.45162961299498466"/>
    <n v="0.1692611722434314"/>
    <s v="Excellent"/>
  </r>
  <r>
    <x v="0"/>
    <x v="6"/>
    <x v="9"/>
    <n v="750408"/>
    <x v="38"/>
    <n v="1876"/>
    <x v="3"/>
    <n v="30.84"/>
    <n v="6.53"/>
    <x v="341"/>
    <n v="296497"/>
    <n v="166912"/>
    <x v="0"/>
    <n v="12050"/>
    <n v="400.00319829424308"/>
    <s v="Low"/>
    <n v="0.38245461135808789"/>
    <n v="0.39511439110457247"/>
    <n v="0.22242833232055095"/>
    <s v="Good"/>
  </r>
  <r>
    <x v="9"/>
    <x v="3"/>
    <x v="0"/>
    <n v="211923"/>
    <x v="18"/>
    <n v="1671"/>
    <x v="2"/>
    <n v="25.52"/>
    <n v="9.64"/>
    <x v="342"/>
    <n v="83694"/>
    <n v="57708"/>
    <x v="2"/>
    <n v="10671"/>
    <n v="126.82345900658288"/>
    <s v="Low"/>
    <n v="0.33276237123861024"/>
    <n v="0.39492645913846069"/>
    <n v="0.27230645092793138"/>
    <s v="Excellent"/>
  </r>
  <r>
    <x v="7"/>
    <x v="5"/>
    <x v="7"/>
    <n v="690356"/>
    <x v="18"/>
    <n v="1599"/>
    <x v="1"/>
    <n v="32.99"/>
    <n v="6.53"/>
    <x v="343"/>
    <n v="220856"/>
    <n v="161191"/>
    <x v="3"/>
    <n v="12755"/>
    <n v="431.74108818011257"/>
    <s v="Low"/>
    <n v="0.44659132389665623"/>
    <n v="0.31991610125790171"/>
    <n v="0.23348967778943039"/>
    <s v="Good"/>
  </r>
  <r>
    <x v="0"/>
    <x v="6"/>
    <x v="0"/>
    <n v="564223"/>
    <x v="33"/>
    <n v="1436"/>
    <x v="3"/>
    <n v="6.74"/>
    <n v="9.8000000000000007"/>
    <x v="344"/>
    <n v="240970"/>
    <n v="111909"/>
    <x v="2"/>
    <n v="13055"/>
    <n v="392.91225626740948"/>
    <s v="Low"/>
    <n v="0.37457352855165421"/>
    <n v="0.42708290870808174"/>
    <n v="0.1983417903913878"/>
    <s v="Excellent"/>
  </r>
  <r>
    <x v="3"/>
    <x v="2"/>
    <x v="9"/>
    <n v="350395"/>
    <x v="33"/>
    <n v="1051"/>
    <x v="2"/>
    <n v="7.19"/>
    <n v="5.22"/>
    <x v="345"/>
    <n v="132703"/>
    <n v="85929"/>
    <x v="0"/>
    <n v="21187"/>
    <n v="333.39105613701236"/>
    <s v="Low"/>
    <n v="0.37603847086859116"/>
    <n v="0.37872401147276646"/>
    <n v="0.24523466373664007"/>
    <s v="Good"/>
  </r>
  <r>
    <x v="0"/>
    <x v="1"/>
    <x v="3"/>
    <n v="695284"/>
    <x v="6"/>
    <n v="1034"/>
    <x v="1"/>
    <n v="13.47"/>
    <n v="9.51"/>
    <x v="346"/>
    <n v="288949"/>
    <n v="130178"/>
    <x v="0"/>
    <n v="9518"/>
    <n v="672.41972920696321"/>
    <s v="Low"/>
    <n v="0.39718302161418934"/>
    <n v="0.4155841354036624"/>
    <n v="0.18722996645974882"/>
    <s v="Excellent"/>
  </r>
  <r>
    <x v="4"/>
    <x v="5"/>
    <x v="1"/>
    <n v="638230"/>
    <x v="10"/>
    <n v="1313"/>
    <x v="2"/>
    <n v="30.43"/>
    <n v="7.18"/>
    <x v="347"/>
    <n v="255084"/>
    <n v="156728"/>
    <x v="4"/>
    <n v="11613"/>
    <n v="486.08453922315306"/>
    <s v="Low"/>
    <n v="0.35475768923428858"/>
    <n v="0.39967409867915954"/>
    <n v="0.24556664525327859"/>
    <s v="Good"/>
  </r>
  <r>
    <x v="2"/>
    <x v="3"/>
    <x v="3"/>
    <n v="302840"/>
    <x v="5"/>
    <n v="1938"/>
    <x v="1"/>
    <n v="34.43"/>
    <n v="7.73"/>
    <x v="348"/>
    <n v="139363"/>
    <n v="51694"/>
    <x v="1"/>
    <n v="8780"/>
    <n v="156.26315789473685"/>
    <s v="Low"/>
    <n v="0.36910910051512352"/>
    <n v="0.46018689737154933"/>
    <n v="0.17069739796592259"/>
    <s v="Good"/>
  </r>
  <r>
    <x v="7"/>
    <x v="4"/>
    <x v="2"/>
    <n v="575160"/>
    <x v="40"/>
    <n v="851"/>
    <x v="3"/>
    <n v="16.54"/>
    <n v="5.57"/>
    <x v="349"/>
    <n v="289468"/>
    <n v="93634"/>
    <x v="2"/>
    <n v="14102"/>
    <n v="675.86251468860166"/>
    <s v="Low"/>
    <n v="0.33391925725015648"/>
    <n v="0.50328256485151956"/>
    <n v="0.16279643925168649"/>
    <s v="Good"/>
  </r>
  <r>
    <x v="2"/>
    <x v="6"/>
    <x v="3"/>
    <n v="575469"/>
    <x v="20"/>
    <n v="1309"/>
    <x v="2"/>
    <n v="15.01"/>
    <n v="8.01"/>
    <x v="350"/>
    <n v="252064"/>
    <n v="112493"/>
    <x v="0"/>
    <n v="17987"/>
    <n v="439.62414056531702"/>
    <s v="Low"/>
    <n v="0.3665028003246048"/>
    <n v="0.43801490610267452"/>
    <n v="0.19548055585965535"/>
    <s v="Excellent"/>
  </r>
  <r>
    <x v="8"/>
    <x v="2"/>
    <x v="6"/>
    <n v="718979"/>
    <x v="22"/>
    <n v="927"/>
    <x v="3"/>
    <n v="19.89"/>
    <n v="8.32"/>
    <x v="351"/>
    <n v="315981"/>
    <n v="106663"/>
    <x v="1"/>
    <n v="9057"/>
    <n v="775.59546925566337"/>
    <s v="Low"/>
    <n v="0.41215807415793787"/>
    <n v="0.43948571515996993"/>
    <n v="0.14835342895967754"/>
    <s v="Excellent"/>
  </r>
  <r>
    <x v="2"/>
    <x v="3"/>
    <x v="2"/>
    <n v="53318"/>
    <x v="21"/>
    <n v="1299"/>
    <x v="1"/>
    <n v="13.04"/>
    <n v="5.69"/>
    <x v="352"/>
    <n v="23646"/>
    <n v="6650"/>
    <x v="2"/>
    <n v="15333"/>
    <n v="41.044649730561972"/>
    <s v="Low"/>
    <n v="0.43176788326643911"/>
    <n v="0.44349000337597061"/>
    <n v="0.12472335796541506"/>
    <s v="Good"/>
  </r>
  <r>
    <x v="2"/>
    <x v="5"/>
    <x v="6"/>
    <n v="667066"/>
    <x v="3"/>
    <n v="1504"/>
    <x v="0"/>
    <n v="7.06"/>
    <n v="9.06"/>
    <x v="353"/>
    <n v="282540"/>
    <n v="144558"/>
    <x v="4"/>
    <n v="11704"/>
    <n v="443.52726063829789"/>
    <s v="Low"/>
    <n v="0.35973501872378444"/>
    <n v="0.42355628978242033"/>
    <n v="0.21670719239175734"/>
    <s v="Excellent"/>
  </r>
  <r>
    <x v="3"/>
    <x v="5"/>
    <x v="0"/>
    <n v="776076"/>
    <x v="44"/>
    <n v="740"/>
    <x v="0"/>
    <n v="31.79"/>
    <n v="8"/>
    <x v="354"/>
    <n v="278807"/>
    <n v="126823"/>
    <x v="4"/>
    <n v="19992"/>
    <n v="1048.7486486486487"/>
    <s v="Low"/>
    <n v="0.47732953989042309"/>
    <n v="0.35925218664151448"/>
    <n v="0.16341569640086795"/>
    <s v="Excellent"/>
  </r>
  <r>
    <x v="0"/>
    <x v="2"/>
    <x v="2"/>
    <n v="298574"/>
    <x v="24"/>
    <n v="2144"/>
    <x v="1"/>
    <n v="15.74"/>
    <n v="9.6199999999999992"/>
    <x v="355"/>
    <n v="130662"/>
    <n v="80141"/>
    <x v="0"/>
    <n v="9506"/>
    <n v="139.25932835820896"/>
    <s v="Low"/>
    <n v="0.29396062617642527"/>
    <n v="0.43762015446756919"/>
    <n v="0.26841252084910272"/>
    <s v="Excellent"/>
  </r>
  <r>
    <x v="5"/>
    <x v="2"/>
    <x v="9"/>
    <n v="795920"/>
    <x v="37"/>
    <n v="2379"/>
    <x v="3"/>
    <n v="23.32"/>
    <n v="6.94"/>
    <x v="356"/>
    <n v="354658"/>
    <n v="120998"/>
    <x v="4"/>
    <n v="21437"/>
    <n v="334.56031946195878"/>
    <s v="Low"/>
    <n v="0.40238089255201526"/>
    <n v="0.44559503467685196"/>
    <n v="0.15202281636345361"/>
    <s v="Good"/>
  </r>
  <r>
    <x v="2"/>
    <x v="5"/>
    <x v="6"/>
    <n v="67561"/>
    <x v="37"/>
    <n v="408"/>
    <x v="3"/>
    <n v="11.33"/>
    <n v="8.57"/>
    <x v="357"/>
    <n v="22946"/>
    <n v="14101"/>
    <x v="0"/>
    <n v="24495"/>
    <n v="165.5857843137255"/>
    <s v="Low"/>
    <n v="0.45162149760956766"/>
    <n v="0.33963381240656593"/>
    <n v="0.20871508710646675"/>
    <s v="Excellent"/>
  </r>
  <r>
    <x v="6"/>
    <x v="1"/>
    <x v="4"/>
    <n v="203543"/>
    <x v="30"/>
    <n v="1161"/>
    <x v="0"/>
    <n v="5.07"/>
    <n v="7.69"/>
    <x v="358"/>
    <n v="68408"/>
    <n v="48279"/>
    <x v="2"/>
    <n v="19581"/>
    <n v="175.31524547803619"/>
    <s v="Low"/>
    <n v="0.42671081786158205"/>
    <n v="0.33608623239315527"/>
    <n v="0.23719312381167615"/>
    <s v="Good"/>
  </r>
  <r>
    <x v="9"/>
    <x v="2"/>
    <x v="6"/>
    <n v="738300"/>
    <x v="6"/>
    <n v="1837"/>
    <x v="0"/>
    <n v="32.15"/>
    <n v="6.34"/>
    <x v="359"/>
    <n v="371048"/>
    <n v="87276"/>
    <x v="4"/>
    <n v="19872"/>
    <n v="401.90419161676647"/>
    <s v="Low"/>
    <n v="0.37921441148584584"/>
    <n v="0.50257077068942169"/>
    <n v="0.11821210889882161"/>
    <s v="Good"/>
  </r>
  <r>
    <x v="2"/>
    <x v="3"/>
    <x v="5"/>
    <n v="486474"/>
    <x v="18"/>
    <n v="2153"/>
    <x v="1"/>
    <n v="8.8000000000000007"/>
    <n v="6.08"/>
    <x v="360"/>
    <n v="207252"/>
    <n v="95338"/>
    <x v="4"/>
    <n v="10040"/>
    <n v="225.9512308406874"/>
    <s v="Low"/>
    <n v="0.37799142400210495"/>
    <n v="0.42602893474265841"/>
    <n v="0.1959775856469205"/>
    <s v="Good"/>
  </r>
  <r>
    <x v="4"/>
    <x v="4"/>
    <x v="5"/>
    <n v="891230"/>
    <x v="25"/>
    <n v="1571"/>
    <x v="3"/>
    <n v="8.58"/>
    <n v="8.15"/>
    <x v="361"/>
    <n v="380875"/>
    <n v="203396"/>
    <x v="2"/>
    <n v="16256"/>
    <n v="567.30044557606618"/>
    <s v="Low"/>
    <n v="0.34442063216004848"/>
    <n v="0.42735881871121933"/>
    <n v="0.22821942708391774"/>
    <s v="Excellent"/>
  </r>
  <r>
    <x v="7"/>
    <x v="2"/>
    <x v="2"/>
    <n v="392318"/>
    <x v="38"/>
    <n v="453"/>
    <x v="2"/>
    <n v="2.25"/>
    <n v="7.81"/>
    <x v="362"/>
    <n v="165009"/>
    <n v="70935"/>
    <x v="1"/>
    <n v="16434"/>
    <n v="866.0397350993378"/>
    <s v="Low"/>
    <n v="0.39858482149684693"/>
    <n v="0.42060012540846964"/>
    <n v="0.18080995518941267"/>
    <s v="Good"/>
  </r>
  <r>
    <x v="6"/>
    <x v="0"/>
    <x v="6"/>
    <n v="70352"/>
    <x v="37"/>
    <n v="1217"/>
    <x v="3"/>
    <n v="22.78"/>
    <n v="9.34"/>
    <x v="363"/>
    <n v="31921"/>
    <n v="13896"/>
    <x v="0"/>
    <n v="11029"/>
    <n v="57.806080525883317"/>
    <s v="Low"/>
    <n v="0.34871787582442576"/>
    <n v="0.45373265863088469"/>
    <n v="0.19752103707073004"/>
    <s v="Excellent"/>
  </r>
  <r>
    <x v="6"/>
    <x v="1"/>
    <x v="5"/>
    <n v="358305"/>
    <x v="21"/>
    <n v="551"/>
    <x v="0"/>
    <n v="34.270000000000003"/>
    <n v="7.86"/>
    <x v="364"/>
    <n v="147101"/>
    <n v="46635"/>
    <x v="2"/>
    <n v="12502"/>
    <n v="650.27949183303087"/>
    <s v="Low"/>
    <n v="0.45929585129987022"/>
    <n v="0.4105468804510124"/>
    <n v="0.13015447733076568"/>
    <s v="Good"/>
  </r>
  <r>
    <x v="4"/>
    <x v="3"/>
    <x v="3"/>
    <n v="571590"/>
    <x v="15"/>
    <n v="787"/>
    <x v="1"/>
    <n v="5.36"/>
    <n v="8.89"/>
    <x v="365"/>
    <n v="260744"/>
    <n v="106762"/>
    <x v="0"/>
    <n v="11868"/>
    <n v="726.28843710292244"/>
    <s v="Low"/>
    <n v="0.35704438496124846"/>
    <n v="0.45617313109046692"/>
    <n v="0.18678073444252"/>
    <s v="Excellent"/>
  </r>
  <r>
    <x v="7"/>
    <x v="2"/>
    <x v="1"/>
    <n v="149819"/>
    <x v="28"/>
    <n v="440"/>
    <x v="2"/>
    <n v="32.729999999999997"/>
    <n v="7.82"/>
    <x v="366"/>
    <n v="77427"/>
    <n v="21620"/>
    <x v="1"/>
    <n v="9458"/>
    <n v="340.49545454545455"/>
    <s v="Low"/>
    <n v="0.33888225124984145"/>
    <n v="0.51680360968902472"/>
    <n v="0.14430746434030398"/>
    <s v="Good"/>
  </r>
  <r>
    <x v="3"/>
    <x v="6"/>
    <x v="9"/>
    <n v="355117"/>
    <x v="31"/>
    <n v="1740"/>
    <x v="1"/>
    <n v="15.37"/>
    <n v="6.91"/>
    <x v="367"/>
    <n v="149795"/>
    <n v="71235"/>
    <x v="2"/>
    <n v="19219"/>
    <n v="204.08965517241379"/>
    <s v="Low"/>
    <n v="0.37758259953761719"/>
    <n v="0.4218187245330412"/>
    <n v="0.20059585995601451"/>
    <s v="Good"/>
  </r>
  <r>
    <x v="5"/>
    <x v="6"/>
    <x v="2"/>
    <n v="58570"/>
    <x v="8"/>
    <n v="1833"/>
    <x v="0"/>
    <n v="14.9"/>
    <n v="6.42"/>
    <x v="368"/>
    <n v="23971"/>
    <n v="12102"/>
    <x v="2"/>
    <n v="14363"/>
    <n v="31.951991271140209"/>
    <s v="Low"/>
    <n v="0.38407034317910194"/>
    <n v="0.40927095782823969"/>
    <n v="0.20662455181833703"/>
    <s v="Good"/>
  </r>
  <r>
    <x v="8"/>
    <x v="0"/>
    <x v="1"/>
    <n v="597001"/>
    <x v="45"/>
    <n v="2134"/>
    <x v="0"/>
    <n v="31.61"/>
    <n v="5.03"/>
    <x v="369"/>
    <n v="218550"/>
    <n v="111756"/>
    <x v="1"/>
    <n v="8499"/>
    <n v="279.7563261480787"/>
    <s v="Low"/>
    <n v="0.44672286981093834"/>
    <n v="0.366079788811074"/>
    <n v="0.18719566633891735"/>
    <s v="Good"/>
  </r>
  <r>
    <x v="0"/>
    <x v="6"/>
    <x v="5"/>
    <n v="699855"/>
    <x v="30"/>
    <n v="478"/>
    <x v="2"/>
    <n v="5.55"/>
    <n v="8.11"/>
    <x v="370"/>
    <n v="259609"/>
    <n v="150607"/>
    <x v="4"/>
    <n v="14925"/>
    <n v="1464.1297071129707"/>
    <s v="Low"/>
    <n v="0.41385429839038085"/>
    <n v="0.37094683898807612"/>
    <n v="0.21519743375413478"/>
    <s v="Excellent"/>
  </r>
  <r>
    <x v="8"/>
    <x v="3"/>
    <x v="4"/>
    <n v="179484"/>
    <x v="30"/>
    <n v="1415"/>
    <x v="2"/>
    <n v="33.24"/>
    <n v="5.92"/>
    <x v="371"/>
    <n v="82839"/>
    <n v="28514"/>
    <x v="3"/>
    <n v="23407"/>
    <n v="126.84310954063604"/>
    <s v="Low"/>
    <n v="0.37958815270441931"/>
    <n v="0.46153974727552316"/>
    <n v="0.15886652849279045"/>
    <s v="Good"/>
  </r>
  <r>
    <x v="7"/>
    <x v="4"/>
    <x v="3"/>
    <n v="640256"/>
    <x v="16"/>
    <n v="1851"/>
    <x v="2"/>
    <n v="24.88"/>
    <n v="7.72"/>
    <x v="372"/>
    <n v="247428"/>
    <n v="137810"/>
    <x v="4"/>
    <n v="15116"/>
    <n v="345.8962722852512"/>
    <s v="Low"/>
    <n v="0.39830317872850862"/>
    <n v="0.3864516693322671"/>
    <n v="0.21524202818872451"/>
    <s v="Good"/>
  </r>
  <r>
    <x v="0"/>
    <x v="5"/>
    <x v="2"/>
    <n v="513179"/>
    <x v="9"/>
    <n v="385"/>
    <x v="0"/>
    <n v="34.93"/>
    <n v="6.56"/>
    <x v="373"/>
    <n v="243543"/>
    <n v="88077"/>
    <x v="3"/>
    <n v="16143"/>
    <n v="1332.9298701298701"/>
    <s v="Low"/>
    <n v="0.35379078255345603"/>
    <n v="0.47457709688042576"/>
    <n v="0.17163017192831351"/>
    <s v="Good"/>
  </r>
  <r>
    <x v="4"/>
    <x v="2"/>
    <x v="8"/>
    <n v="477888"/>
    <x v="33"/>
    <n v="1570"/>
    <x v="1"/>
    <n v="26.94"/>
    <n v="6.59"/>
    <x v="374"/>
    <n v="177150"/>
    <n v="119713"/>
    <x v="1"/>
    <n v="23505"/>
    <n v="304.38598726114651"/>
    <s v="Low"/>
    <n v="0.37879796102852553"/>
    <n v="0.3706935516271595"/>
    <n v="0.25050430226329184"/>
    <s v="Good"/>
  </r>
  <r>
    <x v="4"/>
    <x v="6"/>
    <x v="7"/>
    <n v="346843"/>
    <x v="9"/>
    <n v="1307"/>
    <x v="2"/>
    <n v="12.74"/>
    <n v="6.65"/>
    <x v="375"/>
    <n v="142202"/>
    <n v="95537"/>
    <x v="1"/>
    <n v="13794"/>
    <n v="265.37260902830911"/>
    <s v="Low"/>
    <n v="0.31456019005717284"/>
    <n v="0.40998953416963874"/>
    <n v="0.2754473926243286"/>
    <s v="Good"/>
  </r>
  <r>
    <x v="4"/>
    <x v="0"/>
    <x v="5"/>
    <n v="891014"/>
    <x v="38"/>
    <n v="800"/>
    <x v="1"/>
    <n v="32.270000000000003"/>
    <n v="8.35"/>
    <x v="376"/>
    <n v="373190"/>
    <n v="155287"/>
    <x v="3"/>
    <n v="23227"/>
    <n v="1113.7650000000001"/>
    <s v="Low"/>
    <n v="0.40687912872300547"/>
    <n v="0.41883741445140032"/>
    <n v="0.17428121219195208"/>
    <s v="Excellent"/>
  </r>
  <r>
    <x v="4"/>
    <x v="5"/>
    <x v="2"/>
    <n v="846193"/>
    <x v="22"/>
    <n v="840"/>
    <x v="1"/>
    <n v="15.68"/>
    <n v="7.68"/>
    <x v="377"/>
    <n v="371791"/>
    <n v="168082"/>
    <x v="1"/>
    <n v="9414"/>
    <n v="1007.3714285714286"/>
    <s v="Low"/>
    <n v="0.3619966130658136"/>
    <n v="0.43936903283293527"/>
    <n v="0.19863317233775274"/>
    <s v="Good"/>
  </r>
  <r>
    <x v="1"/>
    <x v="3"/>
    <x v="7"/>
    <n v="741610"/>
    <x v="47"/>
    <n v="2105"/>
    <x v="3"/>
    <n v="14.36"/>
    <n v="8.2100000000000009"/>
    <x v="378"/>
    <n v="293936"/>
    <n v="105090"/>
    <x v="1"/>
    <n v="19597"/>
    <n v="352.30783847980996"/>
    <s v="Low"/>
    <n v="0.46194360917463356"/>
    <n v="0.39634848505279058"/>
    <n v="0.14170520893731206"/>
    <s v="Excellent"/>
  </r>
  <r>
    <x v="9"/>
    <x v="0"/>
    <x v="5"/>
    <n v="549426"/>
    <x v="21"/>
    <n v="992"/>
    <x v="3"/>
    <n v="24.69"/>
    <n v="8.06"/>
    <x v="379"/>
    <n v="224798"/>
    <n v="99397"/>
    <x v="0"/>
    <n v="13328"/>
    <n v="553.85483870967744"/>
    <s v="Low"/>
    <n v="0.40993509590008481"/>
    <n v="0.40915064085063318"/>
    <n v="0.18091062308663952"/>
    <s v="Excellent"/>
  </r>
  <r>
    <x v="0"/>
    <x v="5"/>
    <x v="8"/>
    <n v="775643"/>
    <x v="6"/>
    <n v="581"/>
    <x v="2"/>
    <n v="18.28"/>
    <n v="5.97"/>
    <x v="380"/>
    <n v="345544"/>
    <n v="174983"/>
    <x v="0"/>
    <n v="24690"/>
    <n v="1335.0120481927711"/>
    <s v="Low"/>
    <n v="0.32890775782157511"/>
    <n v="0.4454936098179188"/>
    <n v="0.22559734310758944"/>
    <s v="Good"/>
  </r>
  <r>
    <x v="0"/>
    <x v="3"/>
    <x v="4"/>
    <n v="227825"/>
    <x v="19"/>
    <n v="1995"/>
    <x v="0"/>
    <n v="6.64"/>
    <n v="5.79"/>
    <x v="381"/>
    <n v="105500"/>
    <n v="48816"/>
    <x v="3"/>
    <n v="16110"/>
    <n v="114.19749373433584"/>
    <s v="Low"/>
    <n v="0.32265115768682101"/>
    <n v="0.46307472840996378"/>
    <n v="0.2142697245692966"/>
    <s v="Good"/>
  </r>
  <r>
    <x v="9"/>
    <x v="3"/>
    <x v="7"/>
    <n v="544536"/>
    <x v="31"/>
    <n v="1908"/>
    <x v="2"/>
    <n v="10.73"/>
    <n v="7.74"/>
    <x v="382"/>
    <n v="195432"/>
    <n v="120775"/>
    <x v="4"/>
    <n v="18867"/>
    <n v="285.39517819706498"/>
    <s v="Low"/>
    <n v="0.41930561064833177"/>
    <n v="0.35889638150645686"/>
    <n v="0.22179433499346232"/>
    <s v="Good"/>
  </r>
  <r>
    <x v="3"/>
    <x v="5"/>
    <x v="8"/>
    <n v="459248"/>
    <x v="31"/>
    <n v="1900"/>
    <x v="3"/>
    <n v="24.86"/>
    <n v="5.51"/>
    <x v="383"/>
    <n v="209458"/>
    <n v="77696"/>
    <x v="2"/>
    <n v="9028"/>
    <n v="241.70842105263159"/>
    <s v="Low"/>
    <n v="0.37472563843500678"/>
    <n v="0.45608908476465876"/>
    <n v="0.16918092185485839"/>
    <s v="Good"/>
  </r>
  <r>
    <x v="1"/>
    <x v="4"/>
    <x v="3"/>
    <n v="724592"/>
    <x v="29"/>
    <n v="2424"/>
    <x v="3"/>
    <n v="3.97"/>
    <n v="8.25"/>
    <x v="384"/>
    <n v="281217"/>
    <n v="104177"/>
    <x v="4"/>
    <n v="16202"/>
    <n v="298.92326732673268"/>
    <s v="Low"/>
    <n v="0.46811999028418749"/>
    <n v="0.38810392607149957"/>
    <n v="0.14377332347031158"/>
    <s v="Excellent"/>
  </r>
  <r>
    <x v="4"/>
    <x v="3"/>
    <x v="8"/>
    <n v="200782"/>
    <x v="27"/>
    <n v="1927"/>
    <x v="0"/>
    <n v="10.18"/>
    <n v="8.1"/>
    <x v="385"/>
    <n v="95554"/>
    <n v="23470"/>
    <x v="1"/>
    <n v="13809"/>
    <n v="104.19356512714063"/>
    <s v="Low"/>
    <n v="0.40719287585540537"/>
    <n v="0.47590919504736479"/>
    <n v="0.11689294857108705"/>
    <s v="Excellent"/>
  </r>
  <r>
    <x v="6"/>
    <x v="5"/>
    <x v="8"/>
    <n v="379850"/>
    <x v="0"/>
    <n v="1788"/>
    <x v="0"/>
    <n v="19.95"/>
    <n v="6.49"/>
    <x v="386"/>
    <n v="166619"/>
    <n v="65978"/>
    <x v="1"/>
    <n v="20134"/>
    <n v="212.44351230425056"/>
    <s v="Low"/>
    <n v="0.38765828616559167"/>
    <n v="0.43864420165854945"/>
    <n v="0.17369487955772014"/>
    <s v="Good"/>
  </r>
  <r>
    <x v="8"/>
    <x v="1"/>
    <x v="5"/>
    <n v="148253"/>
    <x v="42"/>
    <n v="1945"/>
    <x v="0"/>
    <n v="30.56"/>
    <n v="6.39"/>
    <x v="387"/>
    <n v="60094"/>
    <n v="31331"/>
    <x v="0"/>
    <n v="17273"/>
    <n v="76.222107969151665"/>
    <s v="Low"/>
    <n v="0.38331096166688028"/>
    <n v="0.40534761522532425"/>
    <n v="0.21133467788172922"/>
    <s v="Good"/>
  </r>
  <r>
    <x v="9"/>
    <x v="2"/>
    <x v="0"/>
    <n v="272574"/>
    <x v="44"/>
    <n v="1668"/>
    <x v="1"/>
    <n v="8.1999999999999993"/>
    <n v="5.32"/>
    <x v="388"/>
    <n v="108387"/>
    <n v="66696"/>
    <x v="1"/>
    <n v="13912"/>
    <n v="163.4130695443645"/>
    <s v="Low"/>
    <n v="0.35766434069280267"/>
    <n v="0.39764247507098988"/>
    <n v="0.24468951550771534"/>
    <s v="Good"/>
  </r>
  <r>
    <x v="7"/>
    <x v="6"/>
    <x v="9"/>
    <n v="664066"/>
    <x v="2"/>
    <n v="759"/>
    <x v="3"/>
    <n v="23.87"/>
    <n v="6.65"/>
    <x v="389"/>
    <n v="271683"/>
    <n v="181772"/>
    <x v="3"/>
    <n v="20353"/>
    <n v="874.91963109354413"/>
    <s v="Low"/>
    <n v="0.31715070489981417"/>
    <n v="0.40912047898853426"/>
    <n v="0.27372580436281935"/>
    <s v="Good"/>
  </r>
  <r>
    <x v="9"/>
    <x v="5"/>
    <x v="0"/>
    <n v="641781"/>
    <x v="16"/>
    <n v="1444"/>
    <x v="2"/>
    <n v="12.85"/>
    <n v="8.8699999999999992"/>
    <x v="390"/>
    <n v="307059"/>
    <n v="127035"/>
    <x v="0"/>
    <n v="9472"/>
    <n v="444.4459833795014"/>
    <s v="Low"/>
    <n v="0.32360883229637527"/>
    <n v="0.47844825571339755"/>
    <n v="0.19794135382630523"/>
    <s v="Excellent"/>
  </r>
  <r>
    <x v="8"/>
    <x v="2"/>
    <x v="3"/>
    <n v="419356"/>
    <x v="0"/>
    <n v="1731"/>
    <x v="1"/>
    <n v="9.1999999999999993"/>
    <n v="8.74"/>
    <x v="391"/>
    <n v="153470"/>
    <n v="103079"/>
    <x v="2"/>
    <n v="15986"/>
    <n v="242.26169844020797"/>
    <s v="Low"/>
    <n v="0.38822861721306001"/>
    <n v="0.36596590963286563"/>
    <n v="0.24580308854529326"/>
    <s v="Excellent"/>
  </r>
  <r>
    <x v="1"/>
    <x v="5"/>
    <x v="0"/>
    <n v="127113"/>
    <x v="46"/>
    <n v="1645"/>
    <x v="1"/>
    <n v="25.93"/>
    <n v="6.6"/>
    <x v="392"/>
    <n v="62301"/>
    <n v="21989"/>
    <x v="3"/>
    <n v="12605"/>
    <n v="77.271124620060789"/>
    <s v="Low"/>
    <n v="0.33687349051631227"/>
    <n v="0.4901229614594888"/>
    <n v="0.17298781399227459"/>
    <s v="Good"/>
  </r>
  <r>
    <x v="2"/>
    <x v="3"/>
    <x v="5"/>
    <n v="229838"/>
    <x v="39"/>
    <n v="1364"/>
    <x v="1"/>
    <n v="23.59"/>
    <n v="5.81"/>
    <x v="393"/>
    <n v="111662"/>
    <n v="38257"/>
    <x v="1"/>
    <n v="9506"/>
    <n v="168.50219941348973"/>
    <s v="Low"/>
    <n v="0.34771447715347331"/>
    <n v="0.48582914922684672"/>
    <n v="0.16645202272905263"/>
    <s v="Good"/>
  </r>
  <r>
    <x v="5"/>
    <x v="0"/>
    <x v="6"/>
    <n v="119775"/>
    <x v="37"/>
    <n v="1549"/>
    <x v="0"/>
    <n v="7.74"/>
    <n v="5.29"/>
    <x v="394"/>
    <n v="55866"/>
    <n v="14986"/>
    <x v="2"/>
    <n v="23268"/>
    <n v="77.323434473854093"/>
    <s v="Low"/>
    <n v="0.40844917553746607"/>
    <n v="0.46642454602379463"/>
    <n v="0.12511792945105407"/>
    <s v="Good"/>
  </r>
  <r>
    <x v="3"/>
    <x v="1"/>
    <x v="6"/>
    <n v="667617"/>
    <x v="18"/>
    <n v="1317"/>
    <x v="2"/>
    <n v="29.98"/>
    <n v="8.07"/>
    <x v="395"/>
    <n v="263135"/>
    <n v="160295"/>
    <x v="2"/>
    <n v="12903"/>
    <n v="506.92103264996206"/>
    <s v="Low"/>
    <n v="0.36575611465855423"/>
    <n v="0.39414065249986147"/>
    <n v="0.24010023711199685"/>
    <s v="Excellent"/>
  </r>
  <r>
    <x v="5"/>
    <x v="5"/>
    <x v="1"/>
    <n v="243004"/>
    <x v="5"/>
    <n v="641"/>
    <x v="1"/>
    <n v="5.68"/>
    <n v="6.24"/>
    <x v="396"/>
    <n v="102821"/>
    <n v="45519"/>
    <x v="2"/>
    <n v="13803"/>
    <n v="379.09828393135723"/>
    <s v="Low"/>
    <n v="0.38954914322397988"/>
    <n v="0.42312472222679465"/>
    <n v="0.1873179042320291"/>
    <s v="Good"/>
  </r>
  <r>
    <x v="6"/>
    <x v="0"/>
    <x v="0"/>
    <n v="876026"/>
    <x v="27"/>
    <n v="2301"/>
    <x v="2"/>
    <n v="34.409999999999997"/>
    <n v="9.31"/>
    <x v="397"/>
    <n v="475911"/>
    <n v="145498"/>
    <x v="1"/>
    <n v="12053"/>
    <n v="380.71447196870923"/>
    <s v="Low"/>
    <n v="0.29064776616219151"/>
    <n v="0.5432612730672377"/>
    <n v="0.16608867773330929"/>
    <s v="Excellent"/>
  </r>
  <r>
    <x v="5"/>
    <x v="4"/>
    <x v="3"/>
    <n v="234532"/>
    <x v="39"/>
    <n v="1457"/>
    <x v="1"/>
    <n v="2.58"/>
    <n v="8.61"/>
    <x v="398"/>
    <n v="111903"/>
    <n v="50153"/>
    <x v="4"/>
    <n v="18472"/>
    <n v="160.9684282772821"/>
    <s v="Low"/>
    <n v="0.30901966469394371"/>
    <n v="0.47713318438422048"/>
    <n v="0.21384288711135369"/>
    <s v="Excellent"/>
  </r>
  <r>
    <x v="5"/>
    <x v="0"/>
    <x v="7"/>
    <n v="129005"/>
    <x v="43"/>
    <n v="1784"/>
    <x v="1"/>
    <n v="19.73"/>
    <n v="6.02"/>
    <x v="399"/>
    <n v="66065"/>
    <n v="23842"/>
    <x v="4"/>
    <n v="22963"/>
    <n v="72.311659192825118"/>
    <s v="Low"/>
    <n v="0.30306577264447115"/>
    <n v="0.51211193364598273"/>
    <n v="0.1848145420720127"/>
    <s v="Good"/>
  </r>
  <r>
    <x v="5"/>
    <x v="3"/>
    <x v="6"/>
    <n v="506592"/>
    <x v="33"/>
    <n v="716"/>
    <x v="0"/>
    <n v="8.9"/>
    <n v="6.09"/>
    <x v="400"/>
    <n v="229301"/>
    <n v="96248"/>
    <x v="2"/>
    <n v="17465"/>
    <n v="707.5293296089385"/>
    <s v="Low"/>
    <n v="0.35737240224875244"/>
    <n v="0.45263446718463773"/>
    <n v="0.18999115659149771"/>
    <s v="Good"/>
  </r>
  <r>
    <x v="2"/>
    <x v="2"/>
    <x v="4"/>
    <n v="862668"/>
    <x v="20"/>
    <n v="1037"/>
    <x v="2"/>
    <n v="2.89"/>
    <n v="5.22"/>
    <x v="401"/>
    <n v="395098"/>
    <n v="169516"/>
    <x v="4"/>
    <n v="18683"/>
    <n v="831.88717454194796"/>
    <s v="Low"/>
    <n v="0.34550139798856572"/>
    <n v="0.45799542813689625"/>
    <n v="0.19650201468003914"/>
    <s v="Good"/>
  </r>
  <r>
    <x v="1"/>
    <x v="6"/>
    <x v="3"/>
    <n v="344315"/>
    <x v="19"/>
    <n v="1084"/>
    <x v="0"/>
    <n v="7.32"/>
    <n v="9.85"/>
    <x v="402"/>
    <n v="156604"/>
    <n v="55460"/>
    <x v="2"/>
    <n v="11966"/>
    <n v="317.63191881918817"/>
    <s v="Low"/>
    <n v="0.38409305432525448"/>
    <n v="0.45482770137809853"/>
    <n v="0.16107343566211174"/>
    <s v="Excellent"/>
  </r>
  <r>
    <x v="2"/>
    <x v="3"/>
    <x v="3"/>
    <n v="881021"/>
    <x v="17"/>
    <n v="1701"/>
    <x v="0"/>
    <n v="15.98"/>
    <n v="8.85"/>
    <x v="403"/>
    <n v="407282"/>
    <n v="166330"/>
    <x v="0"/>
    <n v="12785"/>
    <n v="517.94238683127571"/>
    <s v="Low"/>
    <n v="0.34892244339238226"/>
    <n v="0.46228409992497344"/>
    <n v="0.18879232163592014"/>
    <s v="Excellent"/>
  </r>
  <r>
    <x v="8"/>
    <x v="1"/>
    <x v="2"/>
    <n v="810489"/>
    <x v="33"/>
    <n v="2009"/>
    <x v="2"/>
    <n v="20.059999999999999"/>
    <n v="6.67"/>
    <x v="404"/>
    <n v="359368"/>
    <n v="126158"/>
    <x v="1"/>
    <n v="15248"/>
    <n v="403.42857142857144"/>
    <s v="Low"/>
    <n v="0.40094560197609097"/>
    <n v="0.44339651741109382"/>
    <n v="0.15565664678977753"/>
    <s v="Good"/>
  </r>
  <r>
    <x v="2"/>
    <x v="5"/>
    <x v="5"/>
    <n v="698130"/>
    <x v="37"/>
    <n v="790"/>
    <x v="2"/>
    <n v="8.56"/>
    <n v="9.35"/>
    <x v="405"/>
    <n v="307024"/>
    <n v="92803"/>
    <x v="3"/>
    <n v="22148"/>
    <n v="883.70759493670892"/>
    <s v="Low"/>
    <n v="0.42728718147049977"/>
    <n v="0.43978055662985405"/>
    <n v="0.13293082950166873"/>
    <s v="Excellent"/>
  </r>
  <r>
    <x v="3"/>
    <x v="5"/>
    <x v="7"/>
    <n v="499579"/>
    <x v="16"/>
    <n v="681"/>
    <x v="2"/>
    <n v="6.82"/>
    <n v="9.35"/>
    <x v="406"/>
    <n v="254026"/>
    <n v="101767"/>
    <x v="3"/>
    <n v="12739"/>
    <n v="733.59471365638763"/>
    <s v="Low"/>
    <n v="0.28781233798858641"/>
    <n v="0.50848014027811417"/>
    <n v="0.20370552004788031"/>
    <s v="Excellent"/>
  </r>
  <r>
    <x v="1"/>
    <x v="0"/>
    <x v="5"/>
    <n v="750580"/>
    <x v="13"/>
    <n v="1344"/>
    <x v="2"/>
    <n v="14.92"/>
    <n v="9.8699999999999992"/>
    <x v="407"/>
    <n v="360142"/>
    <n v="145450"/>
    <x v="4"/>
    <n v="17119"/>
    <n v="558.46651785714289"/>
    <s v="Low"/>
    <n v="0.32639691971542006"/>
    <n v="0.47981827386820858"/>
    <n v="0.19378347411335234"/>
    <s v="Excellent"/>
  </r>
  <r>
    <x v="8"/>
    <x v="0"/>
    <x v="6"/>
    <n v="856286"/>
    <x v="24"/>
    <n v="1256"/>
    <x v="1"/>
    <n v="33.44"/>
    <n v="5.2"/>
    <x v="408"/>
    <n v="315473"/>
    <n v="199275"/>
    <x v="2"/>
    <n v="20788"/>
    <n v="681.7555732484077"/>
    <s v="Low"/>
    <n v="0.39885855893941979"/>
    <n v="0.36842013065728041"/>
    <n v="0.23272014256918833"/>
    <s v="Good"/>
  </r>
  <r>
    <x v="4"/>
    <x v="3"/>
    <x v="3"/>
    <n v="308483"/>
    <x v="47"/>
    <n v="2274"/>
    <x v="1"/>
    <n v="11.49"/>
    <n v="7.32"/>
    <x v="409"/>
    <n v="120896"/>
    <n v="88454"/>
    <x v="1"/>
    <n v="21526"/>
    <n v="135.65567282321899"/>
    <s v="Low"/>
    <n v="0.32134996093787987"/>
    <n v="0.39190490237711639"/>
    <n v="0.28673865334556525"/>
    <s v="Good"/>
  </r>
  <r>
    <x v="5"/>
    <x v="2"/>
    <x v="6"/>
    <n v="307983"/>
    <x v="11"/>
    <n v="2368"/>
    <x v="3"/>
    <n v="13.93"/>
    <n v="9.1199999999999992"/>
    <x v="410"/>
    <n v="139528"/>
    <n v="79981"/>
    <x v="2"/>
    <n v="14554"/>
    <n v="130.05996621621622"/>
    <s v="Low"/>
    <n v="0.28726585558293805"/>
    <n v="0.45303799235672099"/>
    <n v="0.25969290512788046"/>
    <s v="Excellent"/>
  </r>
  <r>
    <x v="3"/>
    <x v="3"/>
    <x v="3"/>
    <n v="61315"/>
    <x v="8"/>
    <n v="1078"/>
    <x v="3"/>
    <n v="19.62"/>
    <n v="8.68"/>
    <x v="411"/>
    <n v="25958"/>
    <n v="12556"/>
    <x v="2"/>
    <n v="14257"/>
    <n v="56.877551020408163"/>
    <s v="Low"/>
    <n v="0.37185028133409442"/>
    <n v="0.42335480714343959"/>
    <n v="0.20477860229960043"/>
    <s v="Excellent"/>
  </r>
  <r>
    <x v="9"/>
    <x v="3"/>
    <x v="3"/>
    <n v="621824"/>
    <x v="1"/>
    <n v="684"/>
    <x v="1"/>
    <n v="25.38"/>
    <n v="7.44"/>
    <x v="412"/>
    <n v="282473"/>
    <n v="90994"/>
    <x v="4"/>
    <n v="13860"/>
    <n v="909.09649122807014"/>
    <s v="Low"/>
    <n v="0.39939757873610537"/>
    <n v="0.45426519400988064"/>
    <n v="0.14633401090983944"/>
    <s v="Good"/>
  </r>
  <r>
    <x v="7"/>
    <x v="5"/>
    <x v="9"/>
    <n v="225145"/>
    <x v="43"/>
    <n v="1130"/>
    <x v="1"/>
    <n v="25.48"/>
    <n v="5.12"/>
    <x v="413"/>
    <n v="83000"/>
    <n v="53826"/>
    <x v="2"/>
    <n v="18563"/>
    <n v="199.24159292035398"/>
    <s v="Low"/>
    <n v="0.3922672055786271"/>
    <n v="0.3686513135979036"/>
    <n v="0.23907259765928623"/>
    <s v="Good"/>
  </r>
  <r>
    <x v="7"/>
    <x v="4"/>
    <x v="8"/>
    <n v="569013"/>
    <x v="21"/>
    <n v="451"/>
    <x v="2"/>
    <n v="12"/>
    <n v="5.31"/>
    <x v="414"/>
    <n v="294174"/>
    <n v="86129"/>
    <x v="3"/>
    <n v="23636"/>
    <n v="1261.6674057649668"/>
    <s v="Low"/>
    <n v="0.33164268654670453"/>
    <n v="0.51698994574816393"/>
    <n v="0.1513656102760394"/>
    <s v="Good"/>
  </r>
  <r>
    <x v="4"/>
    <x v="6"/>
    <x v="2"/>
    <n v="148824"/>
    <x v="41"/>
    <n v="1169"/>
    <x v="3"/>
    <n v="18.23"/>
    <n v="9.9499999999999993"/>
    <x v="415"/>
    <n v="69198"/>
    <n v="29200"/>
    <x v="3"/>
    <n v="22937"/>
    <n v="127.30795551753636"/>
    <s v="Low"/>
    <n v="0.33882303929473739"/>
    <n v="0.46496532817287534"/>
    <n v="0.19620491318604527"/>
    <s v="Excellent"/>
  </r>
  <r>
    <x v="6"/>
    <x v="2"/>
    <x v="3"/>
    <n v="728124"/>
    <x v="0"/>
    <n v="946"/>
    <x v="3"/>
    <n v="11.19"/>
    <n v="9.8000000000000007"/>
    <x v="416"/>
    <n v="300830"/>
    <n v="108376"/>
    <x v="1"/>
    <n v="14270"/>
    <n v="769.68604651162786"/>
    <s v="Low"/>
    <n v="0.43799819810911328"/>
    <n v="0.4131576489718784"/>
    <n v="0.14884277952656416"/>
    <s v="Excellent"/>
  </r>
  <r>
    <x v="6"/>
    <x v="1"/>
    <x v="5"/>
    <n v="415365"/>
    <x v="28"/>
    <n v="2144"/>
    <x v="3"/>
    <n v="8.2200000000000006"/>
    <n v="6.87"/>
    <x v="417"/>
    <n v="174157"/>
    <n v="71650"/>
    <x v="1"/>
    <n v="10342"/>
    <n v="193.73320895522389"/>
    <s v="Low"/>
    <n v="0.40821205445812719"/>
    <n v="0.41928665149928374"/>
    <n v="0.17249888652149314"/>
    <s v="Good"/>
  </r>
  <r>
    <x v="5"/>
    <x v="5"/>
    <x v="8"/>
    <n v="429248"/>
    <x v="27"/>
    <n v="779"/>
    <x v="0"/>
    <n v="21.63"/>
    <n v="7"/>
    <x v="418"/>
    <n v="186233"/>
    <n v="46375"/>
    <x v="4"/>
    <n v="10014"/>
    <n v="551.02182284980745"/>
    <s v="Low"/>
    <n v="0.45809881467123903"/>
    <n v="0.43385874832264798"/>
    <n v="0.10803777769494557"/>
    <s v="Good"/>
  </r>
  <r>
    <x v="2"/>
    <x v="1"/>
    <x v="1"/>
    <n v="100675"/>
    <x v="11"/>
    <n v="1756"/>
    <x v="3"/>
    <n v="10.4"/>
    <n v="7.51"/>
    <x v="419"/>
    <n v="42131"/>
    <n v="23707"/>
    <x v="4"/>
    <n v="23647"/>
    <n v="57.330865603644646"/>
    <s v="Low"/>
    <n v="0.34601440278122669"/>
    <n v="0.41848522473305189"/>
    <n v="0.23548050658058109"/>
    <s v="Good"/>
  </r>
  <r>
    <x v="5"/>
    <x v="2"/>
    <x v="3"/>
    <n v="152927"/>
    <x v="35"/>
    <n v="479"/>
    <x v="2"/>
    <n v="6.44"/>
    <n v="6.14"/>
    <x v="420"/>
    <n v="70187"/>
    <n v="18687"/>
    <x v="0"/>
    <n v="24555"/>
    <n v="319.26096033402922"/>
    <s v="Low"/>
    <n v="0.41884036174122291"/>
    <n v="0.45895754183368537"/>
    <n v="0.12219555735743198"/>
    <s v="Good"/>
  </r>
  <r>
    <x v="5"/>
    <x v="5"/>
    <x v="7"/>
    <n v="532702"/>
    <x v="5"/>
    <n v="480"/>
    <x v="2"/>
    <n v="31.14"/>
    <n v="8.91"/>
    <x v="421"/>
    <n v="219536"/>
    <n v="114693"/>
    <x v="3"/>
    <n v="12522"/>
    <n v="1109.79375"/>
    <s v="Low"/>
    <n v="0.37257603688366103"/>
    <n v="0.41211784449842503"/>
    <n v="0.21530424139575222"/>
    <s v="Excellent"/>
  </r>
  <r>
    <x v="1"/>
    <x v="3"/>
    <x v="0"/>
    <n v="699584"/>
    <x v="31"/>
    <n v="454"/>
    <x v="1"/>
    <n v="7.3"/>
    <n v="9.75"/>
    <x v="422"/>
    <n v="332183"/>
    <n v="132859"/>
    <x v="0"/>
    <n v="12398"/>
    <n v="1540.931718061674"/>
    <s v="Low"/>
    <n v="0.33525781035586866"/>
    <n v="0.47482932714298781"/>
    <n v="0.18991143308023054"/>
    <s v="Excellent"/>
  </r>
  <r>
    <x v="3"/>
    <x v="1"/>
    <x v="4"/>
    <n v="864322"/>
    <x v="45"/>
    <n v="1806"/>
    <x v="0"/>
    <n v="26.03"/>
    <n v="5.82"/>
    <x v="423"/>
    <n v="476907"/>
    <n v="123623"/>
    <x v="4"/>
    <n v="8125"/>
    <n v="478.5830564784053"/>
    <s v="Low"/>
    <n v="0.30519991392096929"/>
    <n v="0.55177005791822953"/>
    <n v="0.14302887118458169"/>
    <s v="Good"/>
  </r>
  <r>
    <x v="1"/>
    <x v="3"/>
    <x v="9"/>
    <n v="868835"/>
    <x v="17"/>
    <n v="912"/>
    <x v="3"/>
    <n v="22.18"/>
    <n v="8.64"/>
    <x v="424"/>
    <n v="392499"/>
    <n v="100941"/>
    <x v="2"/>
    <n v="8357"/>
    <n v="952.66885964912285"/>
    <s v="Low"/>
    <n v="0.43206592736250266"/>
    <n v="0.45175320975789418"/>
    <n v="0.11617971191307901"/>
    <s v="Excellent"/>
  </r>
  <r>
    <x v="7"/>
    <x v="4"/>
    <x v="8"/>
    <n v="566494"/>
    <x v="44"/>
    <n v="2338"/>
    <x v="1"/>
    <n v="24.47"/>
    <n v="9.5"/>
    <x v="425"/>
    <n v="245920"/>
    <n v="129243"/>
    <x v="3"/>
    <n v="8287"/>
    <n v="242.29811804961506"/>
    <s v="Low"/>
    <n v="0.33774408908126125"/>
    <n v="0.43410874607674571"/>
    <n v="0.22814539959823052"/>
    <s v="Excellent"/>
  </r>
  <r>
    <x v="7"/>
    <x v="6"/>
    <x v="8"/>
    <n v="679903"/>
    <x v="4"/>
    <n v="1982"/>
    <x v="2"/>
    <n v="27.12"/>
    <n v="8.51"/>
    <x v="426"/>
    <n v="335160"/>
    <n v="157724"/>
    <x v="0"/>
    <n v="20678"/>
    <n v="343.03784056508579"/>
    <s v="Low"/>
    <n v="0.27506423710441047"/>
    <n v="0.49295267118986091"/>
    <n v="0.23198015010964798"/>
    <s v="Excellent"/>
  </r>
  <r>
    <x v="3"/>
    <x v="2"/>
    <x v="6"/>
    <n v="311056"/>
    <x v="32"/>
    <n v="1689"/>
    <x v="0"/>
    <n v="27.17"/>
    <n v="5.6"/>
    <x v="427"/>
    <n v="180789"/>
    <n v="37500"/>
    <x v="3"/>
    <n v="18149"/>
    <n v="184.16459443457668"/>
    <s v="Low"/>
    <n v="0.29822604289902782"/>
    <n v="0.58121045728100407"/>
    <n v="0.12055707010956226"/>
    <s v="Good"/>
  </r>
  <r>
    <x v="1"/>
    <x v="6"/>
    <x v="0"/>
    <n v="437141"/>
    <x v="27"/>
    <n v="1772"/>
    <x v="3"/>
    <n v="14.62"/>
    <n v="5.26"/>
    <x v="428"/>
    <n v="172200"/>
    <n v="105762"/>
    <x v="4"/>
    <n v="23546"/>
    <n v="246.69300225733633"/>
    <s v="Low"/>
    <n v="0.36413422671403506"/>
    <n v="0.39392324215756475"/>
    <n v="0.24194024353698235"/>
    <s v="Good"/>
  </r>
  <r>
    <x v="1"/>
    <x v="6"/>
    <x v="5"/>
    <n v="109927"/>
    <x v="29"/>
    <n v="513"/>
    <x v="1"/>
    <n v="10.58"/>
    <n v="6.68"/>
    <x v="429"/>
    <n v="46943"/>
    <n v="23674"/>
    <x v="2"/>
    <n v="15254"/>
    <n v="214.27875243664718"/>
    <s v="Low"/>
    <n v="0.35758275946764673"/>
    <n v="0.42703794336241324"/>
    <n v="0.2153611032776297"/>
    <s v="Good"/>
  </r>
  <r>
    <x v="1"/>
    <x v="1"/>
    <x v="7"/>
    <n v="560920"/>
    <x v="24"/>
    <n v="1181"/>
    <x v="3"/>
    <n v="34.97"/>
    <n v="6.97"/>
    <x v="430"/>
    <n v="188380"/>
    <n v="138869"/>
    <x v="2"/>
    <n v="22049"/>
    <n v="474.95173581710412"/>
    <s v="Low"/>
    <n v="0.41658168722812522"/>
    <n v="0.33584111816301793"/>
    <n v="0.24757362903800897"/>
    <s v="Good"/>
  </r>
  <r>
    <x v="5"/>
    <x v="5"/>
    <x v="0"/>
    <n v="348788"/>
    <x v="40"/>
    <n v="1074"/>
    <x v="0"/>
    <n v="18.29"/>
    <n v="7.13"/>
    <x v="431"/>
    <n v="144456"/>
    <n v="77371"/>
    <x v="3"/>
    <n v="21324"/>
    <n v="324.75418994413405"/>
    <s v="Low"/>
    <n v="0.3640004816679473"/>
    <n v="0.41416562496416159"/>
    <n v="0.22182815922566143"/>
    <s v="Good"/>
  </r>
  <r>
    <x v="6"/>
    <x v="2"/>
    <x v="7"/>
    <n v="136093"/>
    <x v="28"/>
    <n v="1753"/>
    <x v="2"/>
    <n v="31.2"/>
    <n v="7.53"/>
    <x v="432"/>
    <n v="66420"/>
    <n v="16936"/>
    <x v="1"/>
    <n v="16056"/>
    <n v="77.633770678836285"/>
    <s v="Low"/>
    <n v="0.3874997244531313"/>
    <n v="0.48804861381555259"/>
    <n v="0.12444431381481781"/>
    <s v="Good"/>
  </r>
  <r>
    <x v="1"/>
    <x v="1"/>
    <x v="3"/>
    <n v="267781"/>
    <x v="33"/>
    <n v="1738"/>
    <x v="1"/>
    <n v="30.39"/>
    <n v="7.25"/>
    <x v="433"/>
    <n v="115328"/>
    <n v="65327"/>
    <x v="3"/>
    <n v="20294"/>
    <n v="154.07307249712312"/>
    <s v="Low"/>
    <n v="0.32535542103435272"/>
    <n v="0.43068029471844532"/>
    <n v="0.24395681545740736"/>
    <s v="Good"/>
  </r>
  <r>
    <x v="8"/>
    <x v="0"/>
    <x v="2"/>
    <n v="814092"/>
    <x v="44"/>
    <n v="2125"/>
    <x v="0"/>
    <n v="32.96"/>
    <n v="7.58"/>
    <x v="434"/>
    <n v="362434"/>
    <n v="170957"/>
    <x v="1"/>
    <n v="20484"/>
    <n v="383.10117647058826"/>
    <s v="Low"/>
    <n v="0.34480009630361186"/>
    <n v="0.44520029677235495"/>
    <n v="0.20999715019924037"/>
    <s v="Good"/>
  </r>
  <r>
    <x v="9"/>
    <x v="1"/>
    <x v="8"/>
    <n v="560982"/>
    <x v="1"/>
    <n v="1014"/>
    <x v="0"/>
    <n v="22.03"/>
    <n v="7.93"/>
    <x v="435"/>
    <n v="209226"/>
    <n v="122240"/>
    <x v="1"/>
    <n v="24957"/>
    <n v="553.23570019723866"/>
    <s v="Low"/>
    <n v="0.40913077424944116"/>
    <n v="0.37296383841192765"/>
    <n v="0.21790360475024154"/>
    <s v="Good"/>
  </r>
  <r>
    <x v="7"/>
    <x v="4"/>
    <x v="8"/>
    <n v="448828"/>
    <x v="2"/>
    <n v="784"/>
    <x v="0"/>
    <n v="27.23"/>
    <n v="6.66"/>
    <x v="436"/>
    <n v="202239"/>
    <n v="64613"/>
    <x v="3"/>
    <n v="23808"/>
    <n v="572.48341836734699"/>
    <s v="Low"/>
    <n v="0.40544484746940923"/>
    <n v="0.45059354585721034"/>
    <n v="0.14395937864839092"/>
    <s v="Good"/>
  </r>
  <r>
    <x v="7"/>
    <x v="0"/>
    <x v="8"/>
    <n v="362672"/>
    <x v="15"/>
    <n v="1885"/>
    <x v="1"/>
    <n v="27.67"/>
    <n v="5.29"/>
    <x v="437"/>
    <n v="165984"/>
    <n v="71951"/>
    <x v="1"/>
    <n v="23812"/>
    <n v="192.39787798408489"/>
    <s v="Low"/>
    <n v="0.3439333612740989"/>
    <n v="0.45766974015088013"/>
    <n v="0.19839138395023603"/>
    <s v="Good"/>
  </r>
  <r>
    <x v="9"/>
    <x v="1"/>
    <x v="3"/>
    <n v="352200"/>
    <x v="9"/>
    <n v="791"/>
    <x v="2"/>
    <n v="11.32"/>
    <n v="5.45"/>
    <x v="438"/>
    <n v="112726"/>
    <n v="76760"/>
    <x v="4"/>
    <n v="24855"/>
    <n v="445.25790139064475"/>
    <s v="Low"/>
    <n v="0.46199034639409425"/>
    <n v="0.32006246450880182"/>
    <n v="0.2179443498012493"/>
    <s v="Good"/>
  </r>
  <r>
    <x v="9"/>
    <x v="3"/>
    <x v="1"/>
    <n v="260568"/>
    <x v="14"/>
    <n v="415"/>
    <x v="1"/>
    <n v="22.77"/>
    <n v="6.39"/>
    <x v="439"/>
    <n v="102015"/>
    <n v="64407"/>
    <x v="0"/>
    <n v="23933"/>
    <n v="627.86987951807225"/>
    <s v="Low"/>
    <n v="0.36130299960087192"/>
    <n v="0.39151008565902184"/>
    <n v="0.24717923920051579"/>
    <s v="Good"/>
  </r>
  <r>
    <x v="5"/>
    <x v="2"/>
    <x v="6"/>
    <n v="834737"/>
    <x v="35"/>
    <n v="1039"/>
    <x v="1"/>
    <n v="14.29"/>
    <n v="9.77"/>
    <x v="440"/>
    <n v="406373"/>
    <n v="204286"/>
    <x v="1"/>
    <n v="10800"/>
    <n v="803.40327237728582"/>
    <s v="Low"/>
    <n v="0.26844023926098881"/>
    <n v="0.4868275876114273"/>
    <n v="0.24473097514546499"/>
    <s v="Excellent"/>
  </r>
  <r>
    <x v="9"/>
    <x v="3"/>
    <x v="2"/>
    <n v="625078"/>
    <x v="25"/>
    <n v="1690"/>
    <x v="3"/>
    <n v="4.29"/>
    <n v="6.66"/>
    <x v="441"/>
    <n v="299059"/>
    <n v="130561"/>
    <x v="0"/>
    <n v="23103"/>
    <n v="369.86804733727809"/>
    <s v="Low"/>
    <n v="0.31269217601643318"/>
    <n v="0.47843469135051947"/>
    <n v="0.20887153283270249"/>
    <s v="Good"/>
  </r>
  <r>
    <x v="0"/>
    <x v="6"/>
    <x v="2"/>
    <n v="678282"/>
    <x v="31"/>
    <n v="550"/>
    <x v="0"/>
    <n v="2.71"/>
    <n v="8.16"/>
    <x v="442"/>
    <n v="227629"/>
    <n v="167326"/>
    <x v="3"/>
    <n v="11134"/>
    <n v="1233.2363636363636"/>
    <s v="Low"/>
    <n v="0.4177097431451815"/>
    <n v="0.33559640385562345"/>
    <n v="0.24669090437310734"/>
    <s v="Excellent"/>
  </r>
  <r>
    <x v="7"/>
    <x v="5"/>
    <x v="4"/>
    <n v="584024"/>
    <x v="30"/>
    <n v="2275"/>
    <x v="2"/>
    <n v="6.76"/>
    <n v="7.36"/>
    <x v="443"/>
    <n v="203477"/>
    <n v="155257"/>
    <x v="3"/>
    <n v="9634"/>
    <n v="256.71296703296701"/>
    <s v="Low"/>
    <n v="0.38575127049573305"/>
    <n v="0.34840520252592361"/>
    <n v="0.26584010246154266"/>
    <s v="Good"/>
  </r>
  <r>
    <x v="3"/>
    <x v="2"/>
    <x v="0"/>
    <n v="759780"/>
    <x v="22"/>
    <n v="2170"/>
    <x v="2"/>
    <n v="33.26"/>
    <n v="9.74"/>
    <x v="444"/>
    <n v="302836"/>
    <n v="215983"/>
    <x v="2"/>
    <n v="24898"/>
    <n v="350.12857142857143"/>
    <s v="Low"/>
    <n v="0.31714443654742164"/>
    <n v="0.39858380057385034"/>
    <n v="0.28427044670825763"/>
    <s v="Excellent"/>
  </r>
  <r>
    <x v="0"/>
    <x v="6"/>
    <x v="9"/>
    <n v="458249"/>
    <x v="27"/>
    <n v="983"/>
    <x v="3"/>
    <n v="4.3600000000000003"/>
    <n v="8.2899999999999991"/>
    <x v="445"/>
    <n v="203168"/>
    <n v="67996"/>
    <x v="3"/>
    <n v="8286"/>
    <n v="466.17293997965413"/>
    <s v="Low"/>
    <n v="0.40825839227145067"/>
    <n v="0.44335721409102913"/>
    <n v="0.14838221141780997"/>
    <s v="Excellent"/>
  </r>
  <r>
    <x v="0"/>
    <x v="4"/>
    <x v="2"/>
    <n v="237672"/>
    <x v="28"/>
    <n v="2012"/>
    <x v="3"/>
    <n v="29.6"/>
    <n v="6.67"/>
    <x v="446"/>
    <n v="113782"/>
    <n v="31834"/>
    <x v="0"/>
    <n v="8617"/>
    <n v="118.12624254473161"/>
    <s v="Low"/>
    <n v="0.3873152916624592"/>
    <n v="0.47873540004712378"/>
    <n v="0.13394089333198694"/>
    <s v="Good"/>
  </r>
  <r>
    <x v="7"/>
    <x v="0"/>
    <x v="5"/>
    <n v="264973"/>
    <x v="26"/>
    <n v="1217"/>
    <x v="2"/>
    <n v="30.01"/>
    <n v="7.15"/>
    <x v="447"/>
    <n v="112881"/>
    <n v="53701"/>
    <x v="2"/>
    <n v="21241"/>
    <n v="217.72555464256368"/>
    <s v="Low"/>
    <n v="0.37132085155846067"/>
    <n v="0.42600944247149708"/>
    <n v="0.20266593200061894"/>
    <s v="Good"/>
  </r>
  <r>
    <x v="5"/>
    <x v="0"/>
    <x v="4"/>
    <n v="297349"/>
    <x v="33"/>
    <n v="864"/>
    <x v="3"/>
    <n v="17.46"/>
    <n v="9.6999999999999993"/>
    <x v="448"/>
    <n v="143325"/>
    <n v="64323"/>
    <x v="1"/>
    <n v="21586"/>
    <n v="344.15162037037038"/>
    <s v="Low"/>
    <n v="0.30166235635566285"/>
    <n v="0.48200935600926859"/>
    <n v="0.21632156153207174"/>
    <s v="Excellent"/>
  </r>
  <r>
    <x v="7"/>
    <x v="1"/>
    <x v="9"/>
    <n v="408061"/>
    <x v="10"/>
    <n v="869"/>
    <x v="2"/>
    <n v="2.74"/>
    <n v="5.76"/>
    <x v="449"/>
    <n v="160517"/>
    <n v="97410"/>
    <x v="3"/>
    <n v="18600"/>
    <n v="469.57422324510929"/>
    <s v="Low"/>
    <n v="0.36791803186288324"/>
    <n v="0.39336520765277738"/>
    <n v="0.23871430987033801"/>
    <s v="Good"/>
  </r>
  <r>
    <x v="8"/>
    <x v="3"/>
    <x v="6"/>
    <n v="243881"/>
    <x v="23"/>
    <n v="691"/>
    <x v="3"/>
    <n v="1.72"/>
    <n v="5.81"/>
    <x v="450"/>
    <n v="109366"/>
    <n v="42671"/>
    <x v="3"/>
    <n v="15299"/>
    <n v="352.93777134587555"/>
    <s v="Low"/>
    <n v="0.3765894022084541"/>
    <n v="0.44844001787757143"/>
    <n v="0.17496647955355277"/>
    <s v="Good"/>
  </r>
  <r>
    <x v="3"/>
    <x v="4"/>
    <x v="0"/>
    <n v="363070"/>
    <x v="40"/>
    <n v="456"/>
    <x v="2"/>
    <n v="17.52"/>
    <n v="8.41"/>
    <x v="451"/>
    <n v="142120"/>
    <n v="78484"/>
    <x v="0"/>
    <n v="14120"/>
    <n v="796.20175438596493"/>
    <s v="Low"/>
    <n v="0.39238714297518384"/>
    <n v="0.39143966728179141"/>
    <n v="0.21616768116341201"/>
    <s v="Excellent"/>
  </r>
  <r>
    <x v="8"/>
    <x v="2"/>
    <x v="0"/>
    <n v="769414"/>
    <x v="21"/>
    <n v="1764"/>
    <x v="1"/>
    <n v="22.22"/>
    <n v="7.77"/>
    <x v="452"/>
    <n v="405226"/>
    <n v="92604"/>
    <x v="0"/>
    <n v="16207"/>
    <n v="436.17517006802723"/>
    <s v="Low"/>
    <n v="0.35297382163568636"/>
    <n v="0.52666834759960179"/>
    <n v="0.1203565310742981"/>
    <s v="Good"/>
  </r>
  <r>
    <x v="6"/>
    <x v="0"/>
    <x v="7"/>
    <n v="183121"/>
    <x v="17"/>
    <n v="2017"/>
    <x v="2"/>
    <n v="2.62"/>
    <n v="6.84"/>
    <x v="453"/>
    <n v="93047"/>
    <n v="31761"/>
    <x v="2"/>
    <n v="15393"/>
    <n v="90.787803668815073"/>
    <s v="Low"/>
    <n v="0.3184287984447442"/>
    <n v="0.50811758345574787"/>
    <n v="0.17344269635923787"/>
    <s v="Good"/>
  </r>
  <r>
    <x v="3"/>
    <x v="5"/>
    <x v="4"/>
    <n v="603535"/>
    <x v="25"/>
    <n v="618"/>
    <x v="2"/>
    <n v="26.19"/>
    <n v="7.37"/>
    <x v="454"/>
    <n v="249542"/>
    <n v="132136"/>
    <x v="3"/>
    <n v="14635"/>
    <n v="976.59223300970871"/>
    <s v="Low"/>
    <n v="0.36759425716818411"/>
    <n v="0.4134673216963391"/>
    <n v="0.21893676423074054"/>
    <s v="Good"/>
  </r>
  <r>
    <x v="1"/>
    <x v="1"/>
    <x v="6"/>
    <n v="357645"/>
    <x v="12"/>
    <n v="973"/>
    <x v="0"/>
    <n v="12.6"/>
    <n v="8.7200000000000006"/>
    <x v="455"/>
    <n v="150622"/>
    <n v="74077"/>
    <x v="1"/>
    <n v="19322"/>
    <n v="367.56834532374103"/>
    <s v="Low"/>
    <n v="0.3717233569601141"/>
    <n v="0.42114946385382152"/>
    <n v="0.20712438311733702"/>
    <s v="Excellent"/>
  </r>
  <r>
    <x v="8"/>
    <x v="4"/>
    <x v="7"/>
    <n v="783195"/>
    <x v="1"/>
    <n v="2136"/>
    <x v="3"/>
    <n v="15.68"/>
    <n v="8.23"/>
    <x v="456"/>
    <n v="364841"/>
    <n v="104454"/>
    <x v="1"/>
    <n v="9900"/>
    <n v="366.66385767790263"/>
    <s v="Low"/>
    <n v="0.40079290598126904"/>
    <n v="0.46583673286984723"/>
    <n v="0.13336908432765787"/>
    <s v="Excellent"/>
  </r>
  <r>
    <x v="8"/>
    <x v="6"/>
    <x v="2"/>
    <n v="190787"/>
    <x v="8"/>
    <n v="2399"/>
    <x v="0"/>
    <n v="21.53"/>
    <n v="9.6999999999999993"/>
    <x v="457"/>
    <n v="77361"/>
    <n v="26093"/>
    <x v="3"/>
    <n v="24197"/>
    <n v="79.526886202584407"/>
    <s v="Low"/>
    <n v="0.45774083139836574"/>
    <n v="0.40548360213222073"/>
    <n v="0.13676508357487668"/>
    <s v="Excellent"/>
  </r>
  <r>
    <x v="8"/>
    <x v="0"/>
    <x v="7"/>
    <n v="50257"/>
    <x v="5"/>
    <n v="1339"/>
    <x v="1"/>
    <n v="33.659999999999997"/>
    <n v="5.73"/>
    <x v="458"/>
    <n v="20374"/>
    <n v="8267"/>
    <x v="0"/>
    <n v="17437"/>
    <n v="37.532486930545183"/>
    <s v="Low"/>
    <n v="0.43008934078834787"/>
    <n v="0.40539626320711541"/>
    <n v="0.16449449827884674"/>
    <s v="Good"/>
  </r>
  <r>
    <x v="1"/>
    <x v="2"/>
    <x v="0"/>
    <n v="116291"/>
    <x v="41"/>
    <n v="1449"/>
    <x v="1"/>
    <n v="26.79"/>
    <n v="7.9"/>
    <x v="459"/>
    <n v="57458"/>
    <n v="14320"/>
    <x v="1"/>
    <n v="13418"/>
    <n v="80.254658385093165"/>
    <s v="Low"/>
    <n v="0.38275532930321349"/>
    <n v="0.49408810656026692"/>
    <n v="0.12313936590105855"/>
    <s v="Good"/>
  </r>
  <r>
    <x v="5"/>
    <x v="5"/>
    <x v="2"/>
    <n v="472809"/>
    <x v="0"/>
    <n v="2010"/>
    <x v="3"/>
    <n v="8.2799999999999994"/>
    <n v="5.32"/>
    <x v="460"/>
    <n v="212936"/>
    <n v="85664"/>
    <x v="4"/>
    <n v="14833"/>
    <n v="235.22736318407959"/>
    <s v="Low"/>
    <n v="0.36845110816418469"/>
    <n v="0.45036367751036888"/>
    <n v="0.18118098428752413"/>
    <s v="Good"/>
  </r>
  <r>
    <x v="3"/>
    <x v="5"/>
    <x v="0"/>
    <n v="744288"/>
    <x v="22"/>
    <n v="1507"/>
    <x v="2"/>
    <n v="10.34"/>
    <n v="8.02"/>
    <x v="461"/>
    <n v="308401"/>
    <n v="164494"/>
    <x v="1"/>
    <n v="18737"/>
    <n v="493.88652952886531"/>
    <s v="Low"/>
    <n v="0.36463304527279761"/>
    <n v="0.41435707683047424"/>
    <n v="0.22100853433079667"/>
    <s v="Excellent"/>
  </r>
  <r>
    <x v="8"/>
    <x v="6"/>
    <x v="0"/>
    <n v="256078"/>
    <x v="6"/>
    <n v="1686"/>
    <x v="2"/>
    <n v="13.47"/>
    <n v="8.18"/>
    <x v="462"/>
    <n v="97254"/>
    <n v="78364"/>
    <x v="2"/>
    <n v="17410"/>
    <n v="151.88374851720047"/>
    <s v="Low"/>
    <n v="0.3141933317192418"/>
    <n v="0.37978272245175299"/>
    <n v="0.30601613570865127"/>
    <s v="Excellent"/>
  </r>
  <r>
    <x v="4"/>
    <x v="1"/>
    <x v="1"/>
    <n v="289861"/>
    <x v="32"/>
    <n v="1519"/>
    <x v="0"/>
    <n v="5.36"/>
    <n v="8.44"/>
    <x v="463"/>
    <n v="121557"/>
    <n v="59079"/>
    <x v="4"/>
    <n v="9081"/>
    <n v="190.82225148123766"/>
    <s v="Low"/>
    <n v="0.37681164420187607"/>
    <n v="0.41936307402513617"/>
    <n v="0.20381838191408985"/>
    <s v="Excellent"/>
  </r>
  <r>
    <x v="5"/>
    <x v="2"/>
    <x v="6"/>
    <n v="106826"/>
    <x v="46"/>
    <n v="694"/>
    <x v="1"/>
    <n v="9.14"/>
    <n v="6.31"/>
    <x v="464"/>
    <n v="47405"/>
    <n v="19812"/>
    <x v="1"/>
    <n v="12152"/>
    <n v="153.92507204610951"/>
    <s v="Low"/>
    <n v="0.37076179956190441"/>
    <n v="0.4437590099788441"/>
    <n v="0.18546046842528974"/>
    <s v="Good"/>
  </r>
  <r>
    <x v="0"/>
    <x v="0"/>
    <x v="8"/>
    <n v="749671"/>
    <x v="44"/>
    <n v="447"/>
    <x v="1"/>
    <n v="7"/>
    <n v="7.96"/>
    <x v="465"/>
    <n v="316572"/>
    <n v="161609"/>
    <x v="0"/>
    <n v="21860"/>
    <n v="1677.1118568232662"/>
    <s v="Low"/>
    <n v="0.3621428600012539"/>
    <n v="0.4222812407042556"/>
    <n v="0.21557323145753271"/>
    <s v="Good"/>
  </r>
  <r>
    <x v="7"/>
    <x v="4"/>
    <x v="8"/>
    <n v="440250"/>
    <x v="37"/>
    <n v="1568"/>
    <x v="3"/>
    <n v="7.06"/>
    <n v="7.17"/>
    <x v="466"/>
    <n v="146357"/>
    <n v="87882"/>
    <x v="0"/>
    <n v="13472"/>
    <n v="280.7704081632653"/>
    <s v="Low"/>
    <n v="0.46793639977285634"/>
    <n v="0.33244065871663825"/>
    <n v="0.19961839863713798"/>
    <s v="Good"/>
  </r>
  <r>
    <x v="6"/>
    <x v="5"/>
    <x v="4"/>
    <n v="732218"/>
    <x v="37"/>
    <n v="1376"/>
    <x v="2"/>
    <n v="5.51"/>
    <n v="5.18"/>
    <x v="467"/>
    <n v="385519"/>
    <n v="87593"/>
    <x v="2"/>
    <n v="8134"/>
    <n v="532.13444767441865"/>
    <s v="Low"/>
    <n v="0.35386319374830993"/>
    <n v="0.52650849883504636"/>
    <n v="0.11962694170315398"/>
    <s v="Good"/>
  </r>
  <r>
    <x v="4"/>
    <x v="2"/>
    <x v="8"/>
    <n v="567995"/>
    <x v="16"/>
    <n v="586"/>
    <x v="0"/>
    <n v="13.77"/>
    <n v="6.59"/>
    <x v="468"/>
    <n v="220076"/>
    <n v="94599"/>
    <x v="1"/>
    <n v="8599"/>
    <n v="969.27303754266211"/>
    <s v="Low"/>
    <n v="0.44598808088099368"/>
    <n v="0.38746115722849672"/>
    <n v="0.16654900131163125"/>
    <s v="Good"/>
  </r>
  <r>
    <x v="4"/>
    <x v="2"/>
    <x v="9"/>
    <n v="444786"/>
    <x v="45"/>
    <n v="1136"/>
    <x v="3"/>
    <n v="17.12"/>
    <n v="8.3800000000000008"/>
    <x v="469"/>
    <n v="227500"/>
    <n v="52878"/>
    <x v="4"/>
    <n v="18495"/>
    <n v="391.53521126760563"/>
    <s v="Low"/>
    <n v="0.36962943977553248"/>
    <n v="0.51148192613976162"/>
    <n v="0.11888413754030028"/>
    <s v="Excellent"/>
  </r>
  <r>
    <x v="4"/>
    <x v="2"/>
    <x v="0"/>
    <n v="777455"/>
    <x v="2"/>
    <n v="1829"/>
    <x v="2"/>
    <n v="22.35"/>
    <n v="7.4"/>
    <x v="470"/>
    <n v="324242"/>
    <n v="84181"/>
    <x v="1"/>
    <n v="22595"/>
    <n v="425.0705303444505"/>
    <s v="Low"/>
    <n v="0.47466541471853674"/>
    <n v="0.41705564952312352"/>
    <n v="0.10827764951026105"/>
    <s v="Good"/>
  </r>
  <r>
    <x v="0"/>
    <x v="4"/>
    <x v="5"/>
    <n v="854914"/>
    <x v="40"/>
    <n v="1304"/>
    <x v="2"/>
    <n v="30.51"/>
    <n v="6.25"/>
    <x v="471"/>
    <n v="332979"/>
    <n v="197213"/>
    <x v="4"/>
    <n v="19817"/>
    <n v="655.60812883435585"/>
    <s v="Low"/>
    <n v="0.37982884828181546"/>
    <n v="0.38948829940789365"/>
    <n v="0.2306816826019927"/>
    <s v="Good"/>
  </r>
  <r>
    <x v="9"/>
    <x v="4"/>
    <x v="0"/>
    <n v="624918"/>
    <x v="38"/>
    <n v="1422"/>
    <x v="3"/>
    <n v="20.97"/>
    <n v="8.4700000000000006"/>
    <x v="472"/>
    <n v="335873"/>
    <n v="83911"/>
    <x v="2"/>
    <n v="12666"/>
    <n v="439.46272855133617"/>
    <s v="Low"/>
    <n v="0.32825426695982513"/>
    <n v="0.53746731571182138"/>
    <n v="0.13427521690845839"/>
    <s v="Excellent"/>
  </r>
  <r>
    <x v="1"/>
    <x v="1"/>
    <x v="5"/>
    <n v="590752"/>
    <x v="7"/>
    <n v="1300"/>
    <x v="0"/>
    <n v="18.09"/>
    <n v="7.6"/>
    <x v="473"/>
    <n v="289366"/>
    <n v="76476"/>
    <x v="0"/>
    <n v="13713"/>
    <n v="454.42384615384617"/>
    <s v="Low"/>
    <n v="0.3807164427712475"/>
    <n v="0.48982652619034722"/>
    <n v="0.12945533828069986"/>
    <s v="Good"/>
  </r>
  <r>
    <x v="1"/>
    <x v="2"/>
    <x v="3"/>
    <n v="874277"/>
    <x v="14"/>
    <n v="1975"/>
    <x v="0"/>
    <n v="34.75"/>
    <n v="7.49"/>
    <x v="474"/>
    <n v="360461"/>
    <n v="191661"/>
    <x v="2"/>
    <n v="10521"/>
    <n v="442.67139240506327"/>
    <s v="Low"/>
    <n v="0.36848047014847696"/>
    <n v="0.41229610295135294"/>
    <n v="0.21922228309791977"/>
    <s v="Good"/>
  </r>
  <r>
    <x v="3"/>
    <x v="0"/>
    <x v="9"/>
    <n v="790610"/>
    <x v="29"/>
    <n v="1353"/>
    <x v="2"/>
    <n v="4.83"/>
    <n v="8.5"/>
    <x v="475"/>
    <n v="370887"/>
    <n v="160179"/>
    <x v="3"/>
    <n v="23892"/>
    <n v="584.33702882483374"/>
    <s v="Low"/>
    <n v="0.32828069465349541"/>
    <n v="0.46911498716181177"/>
    <n v="0.20260178849242991"/>
    <s v="Excellent"/>
  </r>
  <r>
    <x v="2"/>
    <x v="1"/>
    <x v="8"/>
    <n v="554301"/>
    <x v="26"/>
    <n v="2384"/>
    <x v="3"/>
    <n v="23.76"/>
    <n v="7.35"/>
    <x v="476"/>
    <n v="252124"/>
    <n v="61426"/>
    <x v="0"/>
    <n v="20566"/>
    <n v="232.50838926174498"/>
    <s v="Low"/>
    <n v="0.43433080582571565"/>
    <n v="0.45485034304466349"/>
    <n v="0.11081704705566109"/>
    <s v="Good"/>
  </r>
  <r>
    <x v="2"/>
    <x v="5"/>
    <x v="9"/>
    <n v="624086"/>
    <x v="14"/>
    <n v="327"/>
    <x v="1"/>
    <n v="11.9"/>
    <n v="7.06"/>
    <x v="477"/>
    <n v="286855"/>
    <n v="79554"/>
    <x v="4"/>
    <n v="19156"/>
    <n v="1908.5168195718654"/>
    <s v="Low"/>
    <n v="0.41288540361424547"/>
    <n v="0.45964017779600891"/>
    <n v="0.12747281624647885"/>
    <s v="Good"/>
  </r>
  <r>
    <x v="0"/>
    <x v="6"/>
    <x v="0"/>
    <n v="384052"/>
    <x v="20"/>
    <n v="2280"/>
    <x v="0"/>
    <n v="10.57"/>
    <n v="5.12"/>
    <x v="478"/>
    <n v="189983"/>
    <n v="43131"/>
    <x v="3"/>
    <n v="24799"/>
    <n v="168.44298245614036"/>
    <s v="Low"/>
    <n v="0.39300927999333424"/>
    <n v="0.49468040786143541"/>
    <n v="0.11230510451709665"/>
    <s v="Good"/>
  </r>
  <r>
    <x v="1"/>
    <x v="3"/>
    <x v="4"/>
    <n v="165008"/>
    <x v="34"/>
    <n v="446"/>
    <x v="2"/>
    <n v="2.14"/>
    <n v="6.97"/>
    <x v="479"/>
    <n v="70039"/>
    <n v="36290"/>
    <x v="3"/>
    <n v="22771"/>
    <n v="369.96860986547085"/>
    <s v="Low"/>
    <n v="0.35560094056045766"/>
    <n v="0.42445820808688062"/>
    <n v="0.21992873072820712"/>
    <s v="Good"/>
  </r>
  <r>
    <x v="3"/>
    <x v="5"/>
    <x v="3"/>
    <n v="776877"/>
    <x v="16"/>
    <n v="1772"/>
    <x v="1"/>
    <n v="24.92"/>
    <n v="7.65"/>
    <x v="480"/>
    <n v="426558"/>
    <n v="106309"/>
    <x v="2"/>
    <n v="17988"/>
    <n v="438.4176072234763"/>
    <s v="Low"/>
    <n v="0.31408961779020361"/>
    <n v="0.54906761301982165"/>
    <n v="0.13684148198492169"/>
    <s v="Good"/>
  </r>
  <r>
    <x v="8"/>
    <x v="2"/>
    <x v="5"/>
    <n v="623445"/>
    <x v="30"/>
    <n v="1713"/>
    <x v="0"/>
    <n v="13.13"/>
    <n v="6.21"/>
    <x v="481"/>
    <n v="299036"/>
    <n v="120590"/>
    <x v="0"/>
    <n v="15726"/>
    <n v="363.94862813777002"/>
    <s v="Low"/>
    <n v="0.32692218238978576"/>
    <n v="0.47965097161738407"/>
    <n v="0.19342524200210123"/>
    <s v="Good"/>
  </r>
  <r>
    <x v="2"/>
    <x v="6"/>
    <x v="0"/>
    <n v="557268"/>
    <x v="33"/>
    <n v="2258"/>
    <x v="2"/>
    <n v="3.65"/>
    <n v="9.6300000000000008"/>
    <x v="482"/>
    <n v="294705"/>
    <n v="80021"/>
    <x v="0"/>
    <n v="9940"/>
    <n v="246.79627989371124"/>
    <s v="Low"/>
    <n v="0.3275623218989786"/>
    <n v="0.52883890695320745"/>
    <n v="0.1435951822103548"/>
    <s v="Excellent"/>
  </r>
  <r>
    <x v="5"/>
    <x v="1"/>
    <x v="8"/>
    <n v="528524"/>
    <x v="30"/>
    <n v="1934"/>
    <x v="0"/>
    <n v="21.99"/>
    <n v="8.85"/>
    <x v="483"/>
    <n v="239931"/>
    <n v="111367"/>
    <x v="3"/>
    <n v="15927"/>
    <n v="273.27973112719752"/>
    <s v="Low"/>
    <n v="0.33532062876993285"/>
    <n v="0.45396424760275789"/>
    <n v="0.2107132315656432"/>
    <s v="Excellent"/>
  </r>
  <r>
    <x v="6"/>
    <x v="6"/>
    <x v="9"/>
    <n v="821929"/>
    <x v="18"/>
    <n v="1111"/>
    <x v="2"/>
    <n v="8.25"/>
    <n v="6.16"/>
    <x v="484"/>
    <n v="400752"/>
    <n v="117850"/>
    <x v="3"/>
    <n v="9777"/>
    <n v="739.80828082808284"/>
    <s v="Low"/>
    <n v="0.36904039156666818"/>
    <n v="0.48757496085428303"/>
    <n v="0.1433822142788489"/>
    <s v="Good"/>
  </r>
  <r>
    <x v="8"/>
    <x v="3"/>
    <x v="1"/>
    <n v="454212"/>
    <x v="20"/>
    <n v="2181"/>
    <x v="0"/>
    <n v="20.25"/>
    <n v="5.45"/>
    <x v="485"/>
    <n v="192008"/>
    <n v="113371"/>
    <x v="0"/>
    <n v="21505"/>
    <n v="208.25813846859239"/>
    <s v="Low"/>
    <n v="0.32767077928368249"/>
    <n v="0.42272771305029372"/>
    <n v="0.24959930605091896"/>
    <s v="Good"/>
  </r>
  <r>
    <x v="6"/>
    <x v="3"/>
    <x v="7"/>
    <n v="748445"/>
    <x v="32"/>
    <n v="1870"/>
    <x v="3"/>
    <n v="20.11"/>
    <n v="5.84"/>
    <x v="486"/>
    <n v="406435"/>
    <n v="93391"/>
    <x v="3"/>
    <n v="11915"/>
    <n v="400.23689839572194"/>
    <s v="Low"/>
    <n v="0.33217804915524857"/>
    <n v="0.543039234679903"/>
    <n v="0.12478004395780586"/>
    <s v="Good"/>
  </r>
  <r>
    <x v="7"/>
    <x v="4"/>
    <x v="2"/>
    <n v="73661"/>
    <x v="45"/>
    <n v="856"/>
    <x v="0"/>
    <n v="3.77"/>
    <n v="6.36"/>
    <x v="487"/>
    <n v="25454"/>
    <n v="17310"/>
    <x v="1"/>
    <n v="10264"/>
    <n v="86.05140186915888"/>
    <s v="Low"/>
    <n v="0.41943497916129296"/>
    <n v="0.34555599299493628"/>
    <n v="0.23499545213885231"/>
    <s v="Good"/>
  </r>
  <r>
    <x v="2"/>
    <x v="6"/>
    <x v="3"/>
    <n v="50409"/>
    <x v="16"/>
    <n v="1678"/>
    <x v="3"/>
    <n v="10.72"/>
    <n v="6.03"/>
    <x v="488"/>
    <n v="25794"/>
    <n v="7405"/>
    <x v="1"/>
    <n v="18399"/>
    <n v="30.040524433849821"/>
    <s v="Low"/>
    <n v="0.34138745065365311"/>
    <n v="0.51169434029637562"/>
    <n v="0.14689837132258129"/>
    <s v="Good"/>
  </r>
  <r>
    <x v="7"/>
    <x v="4"/>
    <x v="5"/>
    <n v="544975"/>
    <x v="34"/>
    <n v="1469"/>
    <x v="2"/>
    <n v="17.96"/>
    <n v="7.25"/>
    <x v="489"/>
    <n v="229241"/>
    <n v="111415"/>
    <x v="4"/>
    <n v="20032"/>
    <n v="370.98298162014976"/>
    <s v="Low"/>
    <n v="0.37491261067021425"/>
    <n v="0.42064498371484932"/>
    <n v="0.20444057066837928"/>
    <s v="Good"/>
  </r>
  <r>
    <x v="6"/>
    <x v="4"/>
    <x v="0"/>
    <n v="370644"/>
    <x v="23"/>
    <n v="751"/>
    <x v="1"/>
    <n v="21.34"/>
    <n v="9.6999999999999993"/>
    <x v="490"/>
    <n v="163122"/>
    <n v="79509"/>
    <x v="1"/>
    <n v="13559"/>
    <n v="493.53129161118511"/>
    <s v="Low"/>
    <n v="0.3453745372918488"/>
    <n v="0.44010425097937644"/>
    <n v="0.2145158157153495"/>
    <s v="Excellent"/>
  </r>
  <r>
    <x v="2"/>
    <x v="6"/>
    <x v="6"/>
    <n v="738542"/>
    <x v="18"/>
    <n v="322"/>
    <x v="1"/>
    <n v="24.85"/>
    <n v="9.4600000000000009"/>
    <x v="491"/>
    <n v="313315"/>
    <n v="162251"/>
    <x v="0"/>
    <n v="13572"/>
    <n v="2293.6055900621118"/>
    <s v="Low"/>
    <n v="0.35607318202620841"/>
    <n v="0.42423450528202866"/>
    <n v="0.21969095867262797"/>
    <s v="Excellent"/>
  </r>
  <r>
    <x v="1"/>
    <x v="2"/>
    <x v="4"/>
    <n v="889570"/>
    <x v="12"/>
    <n v="1885"/>
    <x v="1"/>
    <n v="27.06"/>
    <n v="8.2899999999999991"/>
    <x v="492"/>
    <n v="484185"/>
    <n v="116855"/>
    <x v="1"/>
    <n v="19377"/>
    <n v="471.91989389920423"/>
    <s v="Low"/>
    <n v="0.32434659442202413"/>
    <n v="0.54429106197376265"/>
    <n v="0.13136121946558449"/>
    <s v="Excellent"/>
  </r>
  <r>
    <x v="0"/>
    <x v="4"/>
    <x v="0"/>
    <n v="555686"/>
    <x v="25"/>
    <n v="2428"/>
    <x v="0"/>
    <n v="1.99"/>
    <n v="5.93"/>
    <x v="493"/>
    <n v="247093"/>
    <n v="122100"/>
    <x v="2"/>
    <n v="8853"/>
    <n v="228.86532125205932"/>
    <s v="Low"/>
    <n v="0.33560679952347189"/>
    <n v="0.44466299312921326"/>
    <n v="0.21972840776985564"/>
    <s v="Good"/>
  </r>
  <r>
    <x v="6"/>
    <x v="6"/>
    <x v="1"/>
    <n v="259620"/>
    <x v="9"/>
    <n v="2162"/>
    <x v="2"/>
    <n v="16.84"/>
    <n v="5.93"/>
    <x v="494"/>
    <n v="108501"/>
    <n v="56372"/>
    <x v="1"/>
    <n v="18288"/>
    <n v="120.08233117483812"/>
    <s v="Low"/>
    <n v="0.36493721593097606"/>
    <n v="0.41792234804714584"/>
    <n v="0.21713273245512674"/>
    <s v="Good"/>
  </r>
  <r>
    <x v="7"/>
    <x v="0"/>
    <x v="3"/>
    <n v="540724"/>
    <x v="13"/>
    <n v="2094"/>
    <x v="0"/>
    <n v="8.44"/>
    <n v="6.04"/>
    <x v="495"/>
    <n v="221071"/>
    <n v="83445"/>
    <x v="3"/>
    <n v="16223"/>
    <n v="258.22445081184338"/>
    <s v="Low"/>
    <n v="0.43683283893446562"/>
    <n v="0.40884258882535268"/>
    <n v="0.15432087349553561"/>
    <s v="Good"/>
  </r>
  <r>
    <x v="9"/>
    <x v="5"/>
    <x v="5"/>
    <n v="204941"/>
    <x v="28"/>
    <n v="1335"/>
    <x v="1"/>
    <n v="11.75"/>
    <n v="6.16"/>
    <x v="496"/>
    <n v="105450"/>
    <n v="34326"/>
    <x v="2"/>
    <n v="17415"/>
    <n v="153.51310861423221"/>
    <s v="Low"/>
    <n v="0.31796468251838333"/>
    <n v="0.51453833054391263"/>
    <n v="0.16749210748459312"/>
    <s v="Good"/>
  </r>
  <r>
    <x v="7"/>
    <x v="5"/>
    <x v="8"/>
    <n v="344595"/>
    <x v="38"/>
    <n v="586"/>
    <x v="3"/>
    <n v="22.57"/>
    <n v="6.45"/>
    <x v="497"/>
    <n v="138265"/>
    <n v="52341"/>
    <x v="2"/>
    <n v="22598"/>
    <n v="588.0426621160409"/>
    <s v="Low"/>
    <n v="0.44686370957210636"/>
    <n v="0.40123913579709514"/>
    <n v="0.15189135071605797"/>
    <s v="Good"/>
  </r>
  <r>
    <x v="3"/>
    <x v="3"/>
    <x v="3"/>
    <n v="302138"/>
    <x v="15"/>
    <n v="770"/>
    <x v="2"/>
    <n v="8.33"/>
    <n v="8.4600000000000009"/>
    <x v="498"/>
    <n v="132807"/>
    <n v="50031"/>
    <x v="2"/>
    <n v="15650"/>
    <n v="392.3857142857143"/>
    <s v="Low"/>
    <n v="0.39484937346510535"/>
    <n v="0.43955742078123244"/>
    <n v="0.16558989600778451"/>
    <s v="Excellent"/>
  </r>
  <r>
    <x v="7"/>
    <x v="1"/>
    <x v="4"/>
    <n v="818038"/>
    <x v="1"/>
    <n v="442"/>
    <x v="0"/>
    <n v="15.38"/>
    <n v="5.17"/>
    <x v="499"/>
    <n v="368197"/>
    <n v="156918"/>
    <x v="3"/>
    <n v="22255"/>
    <n v="1850.762443438914"/>
    <s v="Low"/>
    <n v="0.35807872005945934"/>
    <n v="0.45009767272425"/>
    <n v="0.1918223847791912"/>
    <s v="Goo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70A4A-ECD0-42CE-8E5A-C96045EFF44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55" firstHeaderRow="0" firstDataRow="1" firstDataCol="1" rowPageCount="3" colPageCount="1"/>
  <pivotFields count="20">
    <pivotField axis="axisPage" showAll="0">
      <items count="11">
        <item x="9"/>
        <item x="5"/>
        <item x="8"/>
        <item x="7"/>
        <item x="4"/>
        <item x="2"/>
        <item x="6"/>
        <item x="1"/>
        <item x="3"/>
        <item x="0"/>
        <item t="default"/>
      </items>
    </pivotField>
    <pivotField axis="axisPage" showAll="0">
      <items count="8">
        <item x="1"/>
        <item x="4"/>
        <item x="6"/>
        <item x="0"/>
        <item x="3"/>
        <item x="5"/>
        <item x="2"/>
        <item t="default"/>
      </items>
    </pivotField>
    <pivotField axis="axisPage" showAll="0">
      <items count="11">
        <item x="6"/>
        <item x="0"/>
        <item x="5"/>
        <item x="8"/>
        <item x="1"/>
        <item x="3"/>
        <item x="7"/>
        <item x="2"/>
        <item x="4"/>
        <item x="9"/>
        <item t="default"/>
      </items>
    </pivotField>
    <pivotField numFmtId="1" showAll="0"/>
    <pivotField axis="axisRow" numFmtId="1" showAll="0">
      <items count="50">
        <item x="47"/>
        <item x="30"/>
        <item x="15"/>
        <item x="42"/>
        <item x="46"/>
        <item x="37"/>
        <item x="45"/>
        <item x="17"/>
        <item x="44"/>
        <item x="39"/>
        <item x="36"/>
        <item x="23"/>
        <item x="22"/>
        <item x="11"/>
        <item x="29"/>
        <item x="18"/>
        <item x="3"/>
        <item x="14"/>
        <item x="48"/>
        <item x="10"/>
        <item x="31"/>
        <item x="25"/>
        <item x="38"/>
        <item x="26"/>
        <item x="4"/>
        <item x="1"/>
        <item x="5"/>
        <item x="9"/>
        <item x="41"/>
        <item x="19"/>
        <item x="2"/>
        <item x="24"/>
        <item x="27"/>
        <item x="34"/>
        <item x="0"/>
        <item x="12"/>
        <item x="6"/>
        <item x="13"/>
        <item x="8"/>
        <item x="28"/>
        <item x="33"/>
        <item x="20"/>
        <item x="16"/>
        <item x="7"/>
        <item x="32"/>
        <item x="35"/>
        <item x="40"/>
        <item x="21"/>
        <item x="43"/>
        <item t="default"/>
      </items>
    </pivotField>
    <pivotField numFmtId="1" showAll="0"/>
    <pivotField showAll="0"/>
    <pivotField numFmtId="2" showAll="0"/>
    <pivotField numFmtId="2" showAll="0"/>
    <pivotField dataField="1" numFmtId="1" showAll="0">
      <items count="501">
        <item x="488"/>
        <item x="48"/>
        <item x="164"/>
        <item x="458"/>
        <item x="368"/>
        <item x="265"/>
        <item x="411"/>
        <item x="352"/>
        <item x="180"/>
        <item x="363"/>
        <item x="104"/>
        <item x="211"/>
        <item x="231"/>
        <item x="328"/>
        <item x="276"/>
        <item x="261"/>
        <item x="357"/>
        <item x="96"/>
        <item x="487"/>
        <item x="77"/>
        <item x="234"/>
        <item x="419"/>
        <item x="205"/>
        <item x="312"/>
        <item x="299"/>
        <item x="163"/>
        <item x="130"/>
        <item x="280"/>
        <item x="399"/>
        <item x="429"/>
        <item x="291"/>
        <item x="464"/>
        <item x="95"/>
        <item x="65"/>
        <item x="157"/>
        <item x="167"/>
        <item x="26"/>
        <item x="64"/>
        <item x="133"/>
        <item x="392"/>
        <item x="278"/>
        <item x="34"/>
        <item x="459"/>
        <item x="126"/>
        <item x="236"/>
        <item x="318"/>
        <item x="139"/>
        <item x="235"/>
        <item x="290"/>
        <item x="10"/>
        <item x="394"/>
        <item x="218"/>
        <item x="415"/>
        <item x="309"/>
        <item x="366"/>
        <item x="432"/>
        <item x="220"/>
        <item x="74"/>
        <item x="227"/>
        <item x="314"/>
        <item x="283"/>
        <item x="45"/>
        <item x="387"/>
        <item x="25"/>
        <item x="453"/>
        <item x="479"/>
        <item x="191"/>
        <item x="149"/>
        <item x="76"/>
        <item x="279"/>
        <item x="78"/>
        <item x="420"/>
        <item x="496"/>
        <item x="301"/>
        <item x="36"/>
        <item x="188"/>
        <item x="51"/>
        <item x="371"/>
        <item x="195"/>
        <item x="255"/>
        <item x="55"/>
        <item x="275"/>
        <item x="342"/>
        <item x="27"/>
        <item x="169"/>
        <item x="70"/>
        <item x="398"/>
        <item x="381"/>
        <item x="123"/>
        <item x="165"/>
        <item x="193"/>
        <item x="292"/>
        <item x="213"/>
        <item x="273"/>
        <item x="326"/>
        <item x="393"/>
        <item x="44"/>
        <item x="61"/>
        <item x="100"/>
        <item x="143"/>
        <item x="462"/>
        <item x="86"/>
        <item x="262"/>
        <item x="120"/>
        <item x="385"/>
        <item x="219"/>
        <item x="43"/>
        <item x="16"/>
        <item x="90"/>
        <item x="223"/>
        <item x="358"/>
        <item x="433"/>
        <item x="457"/>
        <item x="355"/>
        <item x="62"/>
        <item x="413"/>
        <item x="19"/>
        <item x="410"/>
        <item x="448"/>
        <item x="266"/>
        <item x="228"/>
        <item x="214"/>
        <item x="207"/>
        <item x="39"/>
        <item x="450"/>
        <item x="446"/>
        <item x="190"/>
        <item x="287"/>
        <item x="128"/>
        <item x="427"/>
        <item x="23"/>
        <item x="140"/>
        <item x="66"/>
        <item x="439"/>
        <item x="396"/>
        <item x="494"/>
        <item x="245"/>
        <item x="98"/>
        <item x="132"/>
        <item x="388"/>
        <item x="308"/>
        <item x="24"/>
        <item x="447"/>
        <item x="29"/>
        <item x="212"/>
        <item x="409"/>
        <item x="258"/>
        <item x="257"/>
        <item x="178"/>
        <item x="302"/>
        <item x="134"/>
        <item x="327"/>
        <item x="37"/>
        <item x="183"/>
        <item x="38"/>
        <item x="21"/>
        <item x="9"/>
        <item x="31"/>
        <item x="93"/>
        <item x="40"/>
        <item x="375"/>
        <item x="463"/>
        <item x="293"/>
        <item x="33"/>
        <item x="348"/>
        <item x="330"/>
        <item x="204"/>
        <item x="129"/>
        <item x="152"/>
        <item x="146"/>
        <item x="244"/>
        <item x="315"/>
        <item x="332"/>
        <item x="498"/>
        <item x="58"/>
        <item x="181"/>
        <item x="334"/>
        <item x="179"/>
        <item x="115"/>
        <item x="174"/>
        <item x="241"/>
        <item x="99"/>
        <item x="323"/>
        <item x="437"/>
        <item x="57"/>
        <item x="52"/>
        <item x="340"/>
        <item x="431"/>
        <item x="490"/>
        <item x="295"/>
        <item x="345"/>
        <item x="240"/>
        <item x="402"/>
        <item x="455"/>
        <item x="256"/>
        <item x="41"/>
        <item x="367"/>
        <item x="206"/>
        <item x="319"/>
        <item x="109"/>
        <item x="124"/>
        <item x="97"/>
        <item x="197"/>
        <item x="451"/>
        <item x="81"/>
        <item x="406"/>
        <item x="144"/>
        <item x="63"/>
        <item x="248"/>
        <item x="50"/>
        <item x="386"/>
        <item x="201"/>
        <item x="485"/>
        <item x="259"/>
        <item x="121"/>
        <item x="449"/>
        <item x="250"/>
        <item x="249"/>
        <item x="185"/>
        <item x="478"/>
        <item x="88"/>
        <item x="161"/>
        <item x="242"/>
        <item x="277"/>
        <item x="497"/>
        <item x="150"/>
        <item x="22"/>
        <item x="271"/>
        <item x="362"/>
        <item x="82"/>
        <item x="428"/>
        <item x="187"/>
        <item x="138"/>
        <item x="80"/>
        <item x="153"/>
        <item x="438"/>
        <item x="391"/>
        <item x="113"/>
        <item x="110"/>
        <item x="469"/>
        <item x="364"/>
        <item x="158"/>
        <item x="72"/>
        <item x="322"/>
        <item x="94"/>
        <item x="73"/>
        <item x="417"/>
        <item x="333"/>
        <item x="170"/>
        <item x="87"/>
        <item x="32"/>
        <item x="383"/>
        <item x="460"/>
        <item x="177"/>
        <item x="303"/>
        <item x="13"/>
        <item x="483"/>
        <item x="272"/>
        <item x="274"/>
        <item x="374"/>
        <item x="400"/>
        <item x="373"/>
        <item x="436"/>
        <item x="311"/>
        <item x="482"/>
        <item x="54"/>
        <item x="360"/>
        <item x="160"/>
        <item x="281"/>
        <item x="92"/>
        <item x="493"/>
        <item x="426"/>
        <item x="445"/>
        <item x="269"/>
        <item x="414"/>
        <item x="53"/>
        <item x="147"/>
        <item x="199"/>
        <item x="8"/>
        <item x="425"/>
        <item x="194"/>
        <item x="349"/>
        <item x="189"/>
        <item x="142"/>
        <item x="75"/>
        <item x="216"/>
        <item x="441"/>
        <item x="418"/>
        <item x="186"/>
        <item x="421"/>
        <item x="111"/>
        <item x="11"/>
        <item x="336"/>
        <item x="481"/>
        <item x="365"/>
        <item x="489"/>
        <item x="68"/>
        <item x="472"/>
        <item x="466"/>
        <item x="119"/>
        <item x="390"/>
        <item x="172"/>
        <item x="246"/>
        <item x="151"/>
        <item x="59"/>
        <item x="306"/>
        <item x="30"/>
        <item x="389"/>
        <item x="350"/>
        <item x="344"/>
        <item x="171"/>
        <item x="127"/>
        <item x="69"/>
        <item x="125"/>
        <item x="28"/>
        <item x="325"/>
        <item x="270"/>
        <item x="454"/>
        <item x="35"/>
        <item x="253"/>
        <item x="440"/>
        <item x="305"/>
        <item x="473"/>
        <item x="379"/>
        <item x="443"/>
        <item x="254"/>
        <item x="84"/>
        <item x="347"/>
        <item x="382"/>
        <item x="210"/>
        <item x="329"/>
        <item x="435"/>
        <item x="243"/>
        <item x="298"/>
        <item x="107"/>
        <item x="215"/>
        <item x="430"/>
        <item x="47"/>
        <item x="422"/>
        <item x="105"/>
        <item x="260"/>
        <item x="495"/>
        <item x="102"/>
        <item x="4"/>
        <item x="6"/>
        <item x="237"/>
        <item x="307"/>
        <item x="353"/>
        <item x="476"/>
        <item x="267"/>
        <item x="444"/>
        <item x="288"/>
        <item x="198"/>
        <item x="176"/>
        <item x="480"/>
        <item x="395"/>
        <item x="20"/>
        <item x="407"/>
        <item x="89"/>
        <item x="296"/>
        <item x="168"/>
        <item x="49"/>
        <item x="412"/>
        <item x="486"/>
        <item x="289"/>
        <item x="310"/>
        <item x="247"/>
        <item x="67"/>
        <item x="468"/>
        <item x="131"/>
        <item x="221"/>
        <item x="397"/>
        <item x="18"/>
        <item x="372"/>
        <item x="380"/>
        <item x="196"/>
        <item x="320"/>
        <item x="118"/>
        <item x="335"/>
        <item x="282"/>
        <item x="313"/>
        <item x="239"/>
        <item x="477"/>
        <item x="148"/>
        <item x="79"/>
        <item x="467"/>
        <item x="135"/>
        <item x="475"/>
        <item x="175"/>
        <item x="60"/>
        <item x="300"/>
        <item x="337"/>
        <item x="238"/>
        <item x="491"/>
        <item x="294"/>
        <item x="423"/>
        <item x="122"/>
        <item x="369"/>
        <item x="166"/>
        <item x="145"/>
        <item x="225"/>
        <item x="154"/>
        <item x="461"/>
        <item x="465"/>
        <item x="452"/>
        <item x="7"/>
        <item x="114"/>
        <item x="317"/>
        <item x="217"/>
        <item x="200"/>
        <item x="346"/>
        <item x="232"/>
        <item x="192"/>
        <item x="202"/>
        <item x="263"/>
        <item x="359"/>
        <item x="324"/>
        <item x="434"/>
        <item x="268"/>
        <item x="159"/>
        <item x="137"/>
        <item x="285"/>
        <item x="442"/>
        <item x="226"/>
        <item x="341"/>
        <item x="492"/>
        <item x="370"/>
        <item x="103"/>
        <item x="182"/>
        <item x="297"/>
        <item x="173"/>
        <item x="252"/>
        <item x="499"/>
        <item x="85"/>
        <item x="71"/>
        <item x="203"/>
        <item x="117"/>
        <item x="17"/>
        <item x="233"/>
        <item x="162"/>
        <item x="155"/>
        <item x="351"/>
        <item x="5"/>
        <item x="83"/>
        <item x="264"/>
        <item x="112"/>
        <item x="401"/>
        <item x="286"/>
        <item x="405"/>
        <item x="321"/>
        <item x="284"/>
        <item x="15"/>
        <item x="224"/>
        <item x="338"/>
        <item x="484"/>
        <item x="377"/>
        <item x="361"/>
        <item x="403"/>
        <item x="229"/>
        <item x="343"/>
        <item x="106"/>
        <item x="116"/>
        <item x="14"/>
        <item x="184"/>
        <item x="208"/>
        <item x="456"/>
        <item x="42"/>
        <item x="251"/>
        <item x="416"/>
        <item x="356"/>
        <item x="141"/>
        <item x="474"/>
        <item x="471"/>
        <item x="404"/>
        <item x="304"/>
        <item x="2"/>
        <item x="91"/>
        <item x="209"/>
        <item x="0"/>
        <item x="316"/>
        <item x="384"/>
        <item x="222"/>
        <item x="230"/>
        <item x="1"/>
        <item x="408"/>
        <item x="378"/>
        <item x="108"/>
        <item x="331"/>
        <item x="136"/>
        <item x="156"/>
        <item x="56"/>
        <item x="376"/>
        <item x="470"/>
        <item x="354"/>
        <item x="101"/>
        <item x="424"/>
        <item x="46"/>
        <item x="339"/>
        <item x="12"/>
        <item x="3"/>
        <item t="default"/>
      </items>
    </pivotField>
    <pivotField dataField="1" numFmtId="1" showAll="0"/>
    <pivotField dataField="1" numFmtId="1" showAll="0"/>
    <pivotField showAll="0"/>
    <pivotField dataField="1" numFmtId="164" showAll="0"/>
    <pivotField numFmtId="2" showAll="0"/>
    <pivotField showAll="0"/>
    <pivotField numFmtId="10" showAll="0"/>
    <pivotField numFmtId="10" showAll="0"/>
    <pivotField numFmtId="10" showAll="0"/>
    <pivotField showAll="0"/>
  </pivotFields>
  <rowFields count="1">
    <field x="4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1" hier="-1"/>
    <pageField fld="2" hier="-1"/>
    <pageField fld="0" hier="-1"/>
  </pageFields>
  <dataFields count="4">
    <dataField name="Sum of Average_Salary_AED" fld="13" baseField="0" baseItem="0" numFmtId="164"/>
    <dataField name="Sum of Diesel_Output_BPD" fld="10" baseField="0" baseItem="0" numFmtId="1"/>
    <dataField name="Sum of Gas_Output_BPD" fld="11" baseField="0" baseItem="0" numFmtId="1"/>
    <dataField name="Sum of Petrol_Output_BPD" fld="9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B152C0-68AC-4E30-84C2-BC3C9281C63D}" name="PivotTable3" cacheId="1" applyNumberFormats="0" applyBorderFormats="0" applyFontFormats="0" applyPatternFormats="0" applyAlignmentFormats="0" applyWidthHeightFormats="1" dataCaption="Values" tag="b1ae9534-8665-43f0-8dd6-44d8bfe59755" updatedVersion="8" minRefreshableVersion="3" useAutoFormatting="1" itemPrintTitles="1" createdVersion="8" indent="0" outline="1" outlineData="1" multipleFieldFilters="0">
  <location ref="A5:C16" firstHeaderRow="0" firstDataRow="1" firstDataCol="1" rowPageCount="3" colPageCount="1"/>
  <pivotFields count="6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3">
    <pageField fld="0" hier="6" name="[Fact_Table].[Commissioned_Year].[All]" cap="All"/>
    <pageField fld="4" hier="3" name="[Fact_Table].[Emirate].[All]" cap="All"/>
    <pageField fld="3" hier="4" name="[Fact_Table].[Operator].[All]" cap="All"/>
  </pageFields>
  <dataFields count="2">
    <dataField name="Sum of Revenue" fld="2" baseField="0" baseItem="0"/>
    <dataField name="Sum of 0/P Producyivity/Day" fld="5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UAE refinaries EXCEL.xlsx!Fact_Table">
        <x15:activeTabTopLevelEntity name="[Fact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144A2-6823-42CC-9777-3573976B8EC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" firstHeaderRow="0" firstDataRow="1" firstDataCol="1"/>
  <pivotFields count="20">
    <pivotField showAll="0"/>
    <pivotField showAll="0"/>
    <pivotField showAll="0">
      <items count="11">
        <item x="6"/>
        <item x="0"/>
        <item x="5"/>
        <item x="8"/>
        <item x="1"/>
        <item x="3"/>
        <item x="7"/>
        <item x="2"/>
        <item x="4"/>
        <item x="9"/>
        <item t="default"/>
      </items>
    </pivotField>
    <pivotField dataField="1" numFmtId="1" showAll="0"/>
    <pivotField numFmtId="1" showAll="0"/>
    <pivotField dataField="1" numFmtId="1" showAll="0"/>
    <pivotField axis="axisRow" showAll="0">
      <items count="5">
        <item x="3"/>
        <item x="2"/>
        <item x="0"/>
        <item x="1"/>
        <item t="default"/>
      </items>
    </pivotField>
    <pivotField numFmtId="2" showAll="0"/>
    <pivotField numFmtId="2" showAll="0"/>
    <pivotField dataField="1" numFmtId="1" showAll="0"/>
    <pivotField dataField="1" numFmtId="1" showAll="0"/>
    <pivotField dataField="1" numFmtId="1" showAll="0"/>
    <pivotField showAll="0"/>
    <pivotField numFmtId="164" showAll="0"/>
    <pivotField numFmtId="2" showAll="0"/>
    <pivotField showAll="0"/>
    <pivotField numFmtId="10" showAll="0"/>
    <pivotField numFmtId="10" showAll="0"/>
    <pivotField numFmtId="10"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Capacity_BPD" fld="3" baseField="0" baseItem="0" numFmtId="1"/>
    <dataField name="Sum of Gas_Output_BPD" fld="11" baseField="0" baseItem="0" numFmtId="1"/>
    <dataField name="Sum of Diesel_Output_BPD" fld="10" baseField="0" baseItem="0" numFmtId="1"/>
    <dataField name="Sum of Petrol_Output_BPD" fld="9" baseField="0" baseItem="0" numFmtId="1"/>
    <dataField name="Sum of No_of_Employees" fld="5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CB47D9-48AB-4177-B97F-A4FC0732BA5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3" firstHeaderRow="1" firstDataRow="1" firstDataCol="1"/>
  <pivotFields count="20">
    <pivotField showAll="0"/>
    <pivotField showAll="0"/>
    <pivotField showAll="0"/>
    <pivotField numFmtId="1" showAll="0"/>
    <pivotField axis="axisRow" dataField="1" numFmtId="1" showAll="0">
      <items count="50">
        <item x="47"/>
        <item x="30"/>
        <item x="15"/>
        <item x="42"/>
        <item x="46"/>
        <item x="37"/>
        <item x="45"/>
        <item x="17"/>
        <item x="44"/>
        <item x="39"/>
        <item x="36"/>
        <item x="23"/>
        <item x="22"/>
        <item x="11"/>
        <item x="29"/>
        <item x="18"/>
        <item x="3"/>
        <item x="14"/>
        <item x="48"/>
        <item x="10"/>
        <item x="31"/>
        <item x="25"/>
        <item x="38"/>
        <item x="26"/>
        <item x="4"/>
        <item x="1"/>
        <item x="5"/>
        <item x="9"/>
        <item x="41"/>
        <item x="19"/>
        <item x="2"/>
        <item x="24"/>
        <item x="27"/>
        <item x="34"/>
        <item x="0"/>
        <item x="12"/>
        <item x="6"/>
        <item x="13"/>
        <item x="8"/>
        <item x="28"/>
        <item x="33"/>
        <item x="20"/>
        <item x="16"/>
        <item x="7"/>
        <item x="32"/>
        <item x="35"/>
        <item x="40"/>
        <item x="21"/>
        <item x="43"/>
        <item t="default"/>
      </items>
    </pivotField>
    <pivotField numFmtId="1" showAll="0"/>
    <pivotField showAll="0"/>
    <pivotField numFmtId="2" showAll="0"/>
    <pivotField numFmtId="2" showAll="0"/>
    <pivotField numFmtId="1" showAll="0"/>
    <pivotField numFmtId="1" showAll="0"/>
    <pivotField numFmtId="1" showAll="0"/>
    <pivotField showAll="0"/>
    <pivotField numFmtId="164" showAll="0"/>
    <pivotField numFmtId="2" showAll="0"/>
    <pivotField showAll="0"/>
    <pivotField numFmtId="10" showAll="0"/>
    <pivotField numFmtId="10" showAll="0"/>
    <pivotField numFmtId="10" showAll="0"/>
    <pivotField showAll="0"/>
  </pivotFields>
  <rowFields count="1">
    <field x="4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Count of Commissioned_Year" fld="4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C84F73-4B68-47C5-9F84-81925B8E4B8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 rowPageCount="1" colPageCount="1"/>
  <pivotFields count="20">
    <pivotField axis="axisRow" showAll="0">
      <items count="11">
        <item x="9"/>
        <item x="5"/>
        <item x="8"/>
        <item x="7"/>
        <item x="4"/>
        <item x="2"/>
        <item x="6"/>
        <item x="1"/>
        <item x="3"/>
        <item x="0"/>
        <item t="default"/>
      </items>
    </pivotField>
    <pivotField showAll="0"/>
    <pivotField showAll="0"/>
    <pivotField numFmtId="1" showAll="0"/>
    <pivotField axis="axisPage" dataField="1" numFmtId="1" showAll="0">
      <items count="50">
        <item x="47"/>
        <item x="30"/>
        <item x="15"/>
        <item x="42"/>
        <item x="46"/>
        <item x="37"/>
        <item x="45"/>
        <item x="17"/>
        <item x="44"/>
        <item x="39"/>
        <item x="36"/>
        <item x="23"/>
        <item x="22"/>
        <item x="11"/>
        <item x="29"/>
        <item x="18"/>
        <item x="3"/>
        <item x="14"/>
        <item x="48"/>
        <item x="10"/>
        <item x="31"/>
        <item x="25"/>
        <item x="38"/>
        <item x="26"/>
        <item x="4"/>
        <item x="1"/>
        <item x="5"/>
        <item x="9"/>
        <item x="41"/>
        <item x="19"/>
        <item x="2"/>
        <item x="24"/>
        <item x="27"/>
        <item x="34"/>
        <item x="0"/>
        <item x="12"/>
        <item x="6"/>
        <item x="13"/>
        <item x="8"/>
        <item x="28"/>
        <item x="33"/>
        <item x="20"/>
        <item x="16"/>
        <item x="7"/>
        <item x="32"/>
        <item x="35"/>
        <item x="40"/>
        <item x="21"/>
        <item x="43"/>
        <item t="default"/>
      </items>
    </pivotField>
    <pivotField numFmtId="1" showAll="0"/>
    <pivotField showAll="0"/>
    <pivotField numFmtId="2" showAll="0"/>
    <pivotField numFmtId="2" showAll="0"/>
    <pivotField numFmtId="1" showAll="0"/>
    <pivotField numFmtId="1" showAll="0"/>
    <pivotField numFmtId="1" showAll="0"/>
    <pivotField showAll="0"/>
    <pivotField numFmtId="164" showAll="0"/>
    <pivotField numFmtId="2" showAll="0"/>
    <pivotField showAll="0"/>
    <pivotField numFmtId="10" showAll="0"/>
    <pivotField numFmtId="10" showAll="0"/>
    <pivotField numFmtId="10"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7"/>
    </i>
    <i>
      <x v="8"/>
    </i>
    <i>
      <x v="9"/>
    </i>
    <i t="grand">
      <x/>
    </i>
  </rowItems>
  <colItems count="1">
    <i/>
  </colItems>
  <pageFields count="1">
    <pageField fld="4" item="2" hier="-1"/>
  </pageFields>
  <dataFields count="1">
    <dataField name="Count of Commissioned_Year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E05E6D-30C1-413F-9973-9BB0F26FA847}" name="Fact_Table" displayName="Fact_Table" ref="A1:X501" totalsRowShown="0">
  <autoFilter ref="A1:X501" xr:uid="{53E05E6D-30C1-413F-9973-9BB0F26FA847}"/>
  <tableColumns count="24">
    <tableColumn id="22" xr3:uid="{FA68A304-887B-43A0-B6EC-6B583922CB7F}" name="Refinery_Name" dataDxfId="25"/>
    <tableColumn id="21" xr3:uid="{BE0726DD-92C4-4BBC-9FE4-A03FC4C78F81}" name="Emirate" dataDxfId="24"/>
    <tableColumn id="23" xr3:uid="{AA5AA5F2-DD4B-4668-A565-1E3A6FC3537B}" name="Operator" dataDxfId="23"/>
    <tableColumn id="5" xr3:uid="{F43129D1-C3F0-482D-9530-CDA02BE89842}" name="Capacity_BPD" dataDxfId="22"/>
    <tableColumn id="6" xr3:uid="{78919F54-3DA6-493F-9085-AB792A2390B9}" name="Commissioned_Year" dataDxfId="21"/>
    <tableColumn id="7" xr3:uid="{5FFF2166-4703-42C5-92CB-694E00F06670}" name="No_of_Employees" dataDxfId="20"/>
    <tableColumn id="8" xr3:uid="{97532E6D-4B2E-4C0E-A1EF-3CA915B0D982}" name="Crude_Source" dataDxfId="19"/>
    <tableColumn id="9" xr3:uid="{ADC5B3A9-2AAF-488C-8488-DB862EEB0A7B}" name="Annual_Throughput_Million_Tons" dataDxfId="18"/>
    <tableColumn id="10" xr3:uid="{EDEAD6BD-B9D5-4543-AE4B-2E093BB4D21A}" name="Environmental_Rating" dataDxfId="17"/>
    <tableColumn id="11" xr3:uid="{0A6D7E8A-E1CB-4CAB-9AE8-CD2AC47761D7}" name="Petrol_Output_BPD" dataDxfId="16"/>
    <tableColumn id="12" xr3:uid="{4567E5FC-8E61-40CD-A504-DE6C17B5C1EB}" name="Diesel_Output_BPD" dataDxfId="15"/>
    <tableColumn id="13" xr3:uid="{1691A52D-ABD6-44B3-817F-DB838D36BC99}" name="Gas_Output_BPD" dataDxfId="14"/>
    <tableColumn id="14" xr3:uid="{A30479DF-05E7-4C46-BE0F-D4ED8F137B80}" name="Employee_Category" dataDxfId="13"/>
    <tableColumn id="15" xr3:uid="{45BE96FA-F569-4309-BE99-A522E1ECDD27}" name="Average_Salary_AED" dataDxfId="12"/>
    <tableColumn id="20" xr3:uid="{C00E5EE1-DA94-42B8-89A5-0DB332FDE2CA}" name="0/P Producyivity/Day" dataDxfId="11">
      <calculatedColumnFormula>(Fact_Table[[#This Row],[Petrol_Output_BPD]]+Fact_Table[[#This Row],[Diesel_Output_BPD]]+Fact_Table[[#This Row],[Gas_Output_BPD]])/Fact_Table[[#This Row],[No_of_Employees]]</calculatedColumnFormula>
    </tableColumn>
    <tableColumn id="24" xr3:uid="{04109A59-97C7-4E3E-AAAA-A77EE5481C87}" name="Employee Productivity Level" dataDxfId="10">
      <calculatedColumnFormula>IF(Fact_Table[[#This Row],[0/P Producyivity/Day]]&gt;=1000,"High",IF(Fact_Table[[#This Row],[0/P Producyivity/Day]]&gt;=500,"Medium","Low"))</calculatedColumnFormula>
    </tableColumn>
    <tableColumn id="4" xr3:uid="{66B53D79-6484-4DDC-A1EC-8E373344CDB6}" name="Salary /Output Barrel" dataDxfId="9">
      <calculatedColumnFormula>Fact_Table[[#This Row],[Capacity_BPD]]/Fact_Table[[#This Row],[Average_Salary_AED]]</calculatedColumnFormula>
    </tableColumn>
    <tableColumn id="25" xr3:uid="{65746587-370B-47A8-8016-91CF08178E82}" name="Petrol%" dataDxfId="8">
      <calculatedColumnFormula>(Fact_Table[[#This Row],[Petrol_Output_BPD]]/Fact_Table[[#This Row],[Capacity_BPD]])</calculatedColumnFormula>
    </tableColumn>
    <tableColumn id="26" xr3:uid="{522FC3CD-4E9C-43D4-951C-6F5C5C368F5C}" name="Diesel %" dataDxfId="7">
      <calculatedColumnFormula>Fact_Table[[#This Row],[Diesel_Output_BPD]]/Fact_Table[[#This Row],[Capacity_BPD]]</calculatedColumnFormula>
    </tableColumn>
    <tableColumn id="27" xr3:uid="{1076ECD6-B503-477F-8A24-D0C436649A94}" name="Gas %" dataDxfId="6">
      <calculatedColumnFormula>Fact_Table[[#This Row],[Gas_Output_BPD]]/Fact_Table[[#This Row],[Capacity_BPD]]</calculatedColumnFormula>
    </tableColumn>
    <tableColumn id="28" xr3:uid="{D2A406E6-F221-434C-A787-61DCDE8E91E8}" name="Clean Energy" dataDxfId="5">
      <calculatedColumnFormula>IF(Fact_Table[[#This Row],[Environmental_Rating]]&gt;=8,"Excellent",IF(Fact_Table[[#This Row],[Environmental_Rating]]&gt;=5,"Good",IF(Fact_Table[[#This Row],[Environmental_Rating]]&gt;=3,"Average","Poor")))</calculatedColumnFormula>
    </tableColumn>
    <tableColumn id="2" xr3:uid="{26B8E256-13EB-4733-8DA8-B0B3A5E60657}" name="Refinary Age" dataDxfId="4">
      <calculatedColumnFormula>YEAR(TODAY())-Fact_Table[[#This Row],[Commissioned_Year]]</calculatedColumnFormula>
    </tableColumn>
    <tableColumn id="3" xr3:uid="{3988A7D8-A587-48CA-9D5D-4BAD830A9888}" name="cost per barrel" dataDxfId="3">
      <calculatedColumnFormula array="1">_xlfn.XLOOKUP(Fact_Table[[#This Row],[Commissioned_Year]],cost_table[[#All],[Year]],cost_table[[#All],[Average_Crude_Price_USD_per_Barrel]],"0")</calculatedColumnFormula>
    </tableColumn>
    <tableColumn id="16" xr3:uid="{F65260F7-C5E0-4CA4-ACBD-CBFB8AA062FD}" name="Revenue /Day" dataDxfId="2">
      <calculatedColumnFormula>Fact_Table[[#This Row],[Capacity_BPD]]*Fact_Table[[#This Row],[cost per barrel]]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139B03-9BFD-4031-817A-33B8EF87098C}" name="cost_table" displayName="cost_table" ref="A1:B52" totalsRowShown="0">
  <autoFilter ref="A1:B52" xr:uid="{2F139B03-9BFD-4031-817A-33B8EF87098C}"/>
  <tableColumns count="2">
    <tableColumn id="1" xr3:uid="{4C4AD694-D22D-4F04-BFDC-ABDF6E39F6B3}" name="Year" dataDxfId="1"/>
    <tableColumn id="2" xr3:uid="{BF4FD5C5-FB0E-4AB9-A5E5-626DD5901364}" name="Average_Crude_Price_USD_per_Barr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49A0B3-C663-4F38-946E-35139024E148}" name="Employee" displayName="Employee" ref="A1:C6" totalsRowShown="0">
  <autoFilter ref="A1:C6" xr:uid="{BC49A0B3-C663-4F38-946E-35139024E148}"/>
  <tableColumns count="3">
    <tableColumn id="1" xr3:uid="{81764300-2335-4C20-89B0-9F6E07059FC0}" name="Employee Code"/>
    <tableColumn id="2" xr3:uid="{939EC7D0-E899-4AB6-B745-CB5D14A6406F}" name="Employee Category"/>
    <tableColumn id="3" xr3:uid="{3729A2A8-E8DE-4B22-BBAE-BC59EBF36BE0}" name="Avg 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A93C-122B-4961-92EC-E7F937E8145A}">
  <dimension ref="A1:X505"/>
  <sheetViews>
    <sheetView tabSelected="1" workbookViewId="0">
      <selection sqref="A1:X501"/>
    </sheetView>
  </sheetViews>
  <sheetFormatPr defaultRowHeight="14.5" x14ac:dyDescent="0.35"/>
  <cols>
    <col min="1" max="1" width="23.81640625" bestFit="1" customWidth="1"/>
    <col min="2" max="3" width="23.81640625" customWidth="1"/>
    <col min="4" max="4" width="14.54296875" style="5" customWidth="1"/>
    <col min="5" max="5" width="20" style="5" customWidth="1"/>
    <col min="6" max="6" width="17.453125" style="5" customWidth="1"/>
    <col min="7" max="7" width="14.54296875" style="3" customWidth="1"/>
    <col min="8" max="8" width="30.36328125" style="4" customWidth="1"/>
    <col min="9" max="9" width="21.1796875" style="4" customWidth="1"/>
    <col min="10" max="10" width="18.6328125" style="5" customWidth="1"/>
    <col min="11" max="11" width="19" style="5" customWidth="1"/>
    <col min="12" max="12" width="16.90625" style="5" customWidth="1"/>
    <col min="13" max="13" width="19.1796875" style="3" customWidth="1"/>
    <col min="14" max="14" width="19.54296875" style="10" customWidth="1"/>
    <col min="15" max="15" width="19.54296875" style="12" customWidth="1"/>
    <col min="16" max="16" width="24.453125" style="2" bestFit="1" customWidth="1"/>
    <col min="17" max="17" width="24.453125" style="2" customWidth="1"/>
    <col min="18" max="20" width="8.7265625" style="15"/>
    <col min="21" max="21" width="13.90625" bestFit="1" customWidth="1"/>
    <col min="22" max="22" width="13.453125" style="5" bestFit="1" customWidth="1"/>
    <col min="23" max="23" width="15" style="40" bestFit="1" customWidth="1"/>
    <col min="24" max="24" width="17" style="40" bestFit="1" customWidth="1"/>
  </cols>
  <sheetData>
    <row r="1" spans="1:24" x14ac:dyDescent="0.35">
      <c r="A1" t="s">
        <v>0</v>
      </c>
      <c r="B1" t="s">
        <v>1</v>
      </c>
      <c r="C1" t="s">
        <v>2</v>
      </c>
      <c r="D1" s="5" t="s">
        <v>3</v>
      </c>
      <c r="E1" s="5" t="s">
        <v>4</v>
      </c>
      <c r="F1" s="5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3" t="s">
        <v>12</v>
      </c>
      <c r="N1" s="10" t="s">
        <v>13</v>
      </c>
      <c r="O1" s="11" t="s">
        <v>44</v>
      </c>
      <c r="P1" s="13" t="s">
        <v>52</v>
      </c>
      <c r="Q1" s="9" t="s">
        <v>65</v>
      </c>
      <c r="R1" s="14" t="s">
        <v>53</v>
      </c>
      <c r="S1" s="14" t="s">
        <v>54</v>
      </c>
      <c r="T1" s="14" t="s">
        <v>55</v>
      </c>
      <c r="U1" s="9" t="s">
        <v>61</v>
      </c>
      <c r="V1" s="42" t="s">
        <v>66</v>
      </c>
      <c r="W1" s="43" t="s">
        <v>78</v>
      </c>
      <c r="X1" s="43" t="s">
        <v>79</v>
      </c>
    </row>
    <row r="2" spans="1:24" x14ac:dyDescent="0.35">
      <c r="A2" t="s">
        <v>60</v>
      </c>
      <c r="B2" t="s">
        <v>14</v>
      </c>
      <c r="C2" t="s">
        <v>15</v>
      </c>
      <c r="D2" s="5">
        <v>7626328</v>
      </c>
      <c r="E2" s="5">
        <v>2009</v>
      </c>
      <c r="F2" s="5">
        <v>2456</v>
      </c>
      <c r="G2" s="3" t="s">
        <v>16</v>
      </c>
      <c r="H2" s="4">
        <v>23.97</v>
      </c>
      <c r="I2" s="4">
        <v>7.8</v>
      </c>
      <c r="J2" s="5">
        <v>332328</v>
      </c>
      <c r="K2" s="5">
        <v>293866</v>
      </c>
      <c r="L2" s="5">
        <v>136436</v>
      </c>
      <c r="M2" s="3" t="s">
        <v>17</v>
      </c>
      <c r="N2" s="10">
        <v>23487</v>
      </c>
      <c r="O2" s="12">
        <f>(Fact_Table[[#This Row],[Petrol_Output_BPD]]+Fact_Table[[#This Row],[Diesel_Output_BPD]]+Fact_Table[[#This Row],[Gas_Output_BPD]])/Fact_Table[[#This Row],[No_of_Employees]]</f>
        <v>310.51710097719871</v>
      </c>
      <c r="P2" s="2" t="str">
        <f>IF(Fact_Table[[#This Row],[0/P Producyivity/Day]]&gt;=1000,"High",IF(Fact_Table[[#This Row],[0/P Producyivity/Day]]&gt;=500,"Medium","Low"))</f>
        <v>Low</v>
      </c>
      <c r="Q2" s="10">
        <f>Fact_Table[[#This Row],[Capacity_BPD]]/Fact_Table[[#This Row],[Average_Salary_AED]]</f>
        <v>324.70421935538809</v>
      </c>
      <c r="R2" s="15">
        <f>(Fact_Table[[#This Row],[Petrol_Output_BPD]]/Fact_Table[[#This Row],[Capacity_BPD]])</f>
        <v>4.357641056088854E-2</v>
      </c>
      <c r="S2" s="15">
        <f>Fact_Table[[#This Row],[Diesel_Output_BPD]]/Fact_Table[[#This Row],[Capacity_BPD]]</f>
        <v>3.8533092203744713E-2</v>
      </c>
      <c r="T2" s="15">
        <f>Fact_Table[[#This Row],[Gas_Output_BPD]]/Fact_Table[[#This Row],[Capacity_BPD]]</f>
        <v>1.7890130086196134E-2</v>
      </c>
      <c r="U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" s="8">
        <f ca="1">YEAR(TODAY())-Fact_Table[[#This Row],[Commissioned_Year]]</f>
        <v>16</v>
      </c>
      <c r="W2" s="41" cm="1">
        <f t="array" ref="W2">_xlfn.XLOOKUP(Fact_Table[[#This Row],[Commissioned_Year]],cost_table[[#All],[Year]],cost_table[[#All],[Average_Crude_Price_USD_per_Barrel]],"0")</f>
        <v>41.4</v>
      </c>
      <c r="X2" s="40">
        <f>Fact_Table[[#This Row],[Capacity_BPD]]*Fact_Table[[#This Row],[cost per barrel]]</f>
        <v>315729979.19999999</v>
      </c>
    </row>
    <row r="3" spans="1:24" x14ac:dyDescent="0.35">
      <c r="A3" t="s">
        <v>18</v>
      </c>
      <c r="B3" t="s">
        <v>19</v>
      </c>
      <c r="C3" t="s">
        <v>20</v>
      </c>
      <c r="D3" s="5">
        <v>729852</v>
      </c>
      <c r="E3" s="5">
        <v>2000</v>
      </c>
      <c r="F3" s="5">
        <v>1992</v>
      </c>
      <c r="G3" s="3" t="s">
        <v>21</v>
      </c>
      <c r="H3" s="4">
        <v>24.66</v>
      </c>
      <c r="I3" s="4">
        <v>6.53</v>
      </c>
      <c r="J3" s="5">
        <v>340905</v>
      </c>
      <c r="K3" s="5">
        <v>291854</v>
      </c>
      <c r="L3" s="5">
        <v>97092</v>
      </c>
      <c r="M3" s="3" t="s">
        <v>17</v>
      </c>
      <c r="N3" s="10">
        <v>14971</v>
      </c>
      <c r="O3" s="12">
        <f>(Fact_Table[[#This Row],[Petrol_Output_BPD]]+Fact_Table[[#This Row],[Diesel_Output_BPD]]+Fact_Table[[#This Row],[Gas_Output_BPD]])/Fact_Table[[#This Row],[No_of_Employees]]</f>
        <v>366.39106425702812</v>
      </c>
      <c r="P3" s="2" t="str">
        <f>IF(Fact_Table[[#This Row],[0/P Producyivity/Day]]&gt;=1000,"High",IF(Fact_Table[[#This Row],[0/P Producyivity/Day]]&gt;=500,"Medium","Low"))</f>
        <v>Low</v>
      </c>
      <c r="Q3" s="10">
        <f>Fact_Table[[#This Row],[Capacity_BPD]]/Fact_Table[[#This Row],[Average_Salary_AED]]</f>
        <v>48.751052033932268</v>
      </c>
      <c r="R3" s="15">
        <f>(Fact_Table[[#This Row],[Petrol_Output_BPD]]/Fact_Table[[#This Row],[Capacity_BPD]])</f>
        <v>0.46708784794725505</v>
      </c>
      <c r="S3" s="15">
        <f>Fact_Table[[#This Row],[Diesel_Output_BPD]]/Fact_Table[[#This Row],[Capacity_BPD]]</f>
        <v>0.399881071778936</v>
      </c>
      <c r="T3" s="15">
        <f>Fact_Table[[#This Row],[Gas_Output_BPD]]/Fact_Table[[#This Row],[Capacity_BPD]]</f>
        <v>0.13302971013301326</v>
      </c>
      <c r="U3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" s="8">
        <f ca="1">YEAR(TODAY())-Fact_Table[[#This Row],[Commissioned_Year]]</f>
        <v>25</v>
      </c>
      <c r="W3" s="41" cm="1">
        <f t="array" ref="W3">_xlfn.XLOOKUP(Fact_Table[[#This Row],[Commissioned_Year]],cost_table[[#All],[Year]],cost_table[[#All],[Average_Crude_Price_USD_per_Barrel]],"0")</f>
        <v>23.1</v>
      </c>
      <c r="X3" s="40">
        <f>Fact_Table[[#This Row],[Capacity_BPD]]*Fact_Table[[#This Row],[cost per barrel]]</f>
        <v>16859581.199999999</v>
      </c>
    </row>
    <row r="4" spans="1:24" x14ac:dyDescent="0.35">
      <c r="A4" t="s">
        <v>22</v>
      </c>
      <c r="B4" t="s">
        <v>19</v>
      </c>
      <c r="C4" t="s">
        <v>46</v>
      </c>
      <c r="D4" s="5">
        <v>769411</v>
      </c>
      <c r="E4" s="5">
        <v>2005</v>
      </c>
      <c r="F4" s="5">
        <v>1712</v>
      </c>
      <c r="G4" s="3" t="s">
        <v>16</v>
      </c>
      <c r="H4" s="4">
        <v>14.99</v>
      </c>
      <c r="I4" s="4">
        <v>6.18</v>
      </c>
      <c r="J4" s="5">
        <v>325999</v>
      </c>
      <c r="K4" s="5">
        <v>330649</v>
      </c>
      <c r="L4" s="5">
        <v>112761</v>
      </c>
      <c r="M4" s="3" t="s">
        <v>23</v>
      </c>
      <c r="N4" s="10">
        <v>10954</v>
      </c>
      <c r="O4" s="12">
        <f>(Fact_Table[[#This Row],[Petrol_Output_BPD]]+Fact_Table[[#This Row],[Diesel_Output_BPD]]+Fact_Table[[#This Row],[Gas_Output_BPD]])/Fact_Table[[#This Row],[No_of_Employees]]</f>
        <v>449.42114485981307</v>
      </c>
      <c r="P4" s="2" t="str">
        <f>IF(Fact_Table[[#This Row],[0/P Producyivity/Day]]&gt;=1000,"High",IF(Fact_Table[[#This Row],[0/P Producyivity/Day]]&gt;=500,"Medium","Low"))</f>
        <v>Low</v>
      </c>
      <c r="Q4" s="10">
        <f>Fact_Table[[#This Row],[Capacity_BPD]]/Fact_Table[[#This Row],[Average_Salary_AED]]</f>
        <v>70.240186233339415</v>
      </c>
      <c r="R4" s="15">
        <f>(Fact_Table[[#This Row],[Petrol_Output_BPD]]/Fact_Table[[#This Row],[Capacity_BPD]])</f>
        <v>0.4236994272242014</v>
      </c>
      <c r="S4" s="15">
        <f>Fact_Table[[#This Row],[Diesel_Output_BPD]]/Fact_Table[[#This Row],[Capacity_BPD]]</f>
        <v>0.42974301121247294</v>
      </c>
      <c r="T4" s="15">
        <f>Fact_Table[[#This Row],[Gas_Output_BPD]]/Fact_Table[[#This Row],[Capacity_BPD]]</f>
        <v>0.14655496217236302</v>
      </c>
      <c r="U4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" s="8">
        <f ca="1">YEAR(TODAY())-Fact_Table[[#This Row],[Commissioned_Year]]</f>
        <v>20</v>
      </c>
      <c r="W4" s="41" cm="1">
        <f t="array" ref="W4">_xlfn.XLOOKUP(Fact_Table[[#This Row],[Commissioned_Year]],cost_table[[#All],[Year]],cost_table[[#All],[Average_Crude_Price_USD_per_Barrel]],"0")</f>
        <v>25</v>
      </c>
      <c r="X4" s="40">
        <f>Fact_Table[[#This Row],[Capacity_BPD]]*Fact_Table[[#This Row],[cost per barrel]]</f>
        <v>19235275</v>
      </c>
    </row>
    <row r="5" spans="1:24" x14ac:dyDescent="0.35">
      <c r="A5" t="s">
        <v>24</v>
      </c>
      <c r="B5" t="s">
        <v>25</v>
      </c>
      <c r="C5" t="s">
        <v>20</v>
      </c>
      <c r="D5" s="5">
        <v>893222</v>
      </c>
      <c r="E5" s="5">
        <v>1991</v>
      </c>
      <c r="F5" s="5">
        <v>810</v>
      </c>
      <c r="G5" s="3" t="s">
        <v>21</v>
      </c>
      <c r="H5" s="4">
        <v>24.48</v>
      </c>
      <c r="I5" s="4">
        <v>7.68</v>
      </c>
      <c r="J5" s="5">
        <v>411717</v>
      </c>
      <c r="K5" s="5">
        <v>306461</v>
      </c>
      <c r="L5" s="5">
        <v>175043</v>
      </c>
      <c r="M5" s="3" t="s">
        <v>23</v>
      </c>
      <c r="N5" s="10">
        <v>14055</v>
      </c>
      <c r="O5" s="12">
        <f>(Fact_Table[[#This Row],[Petrol_Output_BPD]]+Fact_Table[[#This Row],[Diesel_Output_BPD]]+Fact_Table[[#This Row],[Gas_Output_BPD]])/Fact_Table[[#This Row],[No_of_Employees]]</f>
        <v>1102.7419753086419</v>
      </c>
      <c r="P5" s="2" t="str">
        <f>IF(Fact_Table[[#This Row],[0/P Producyivity/Day]]&gt;=1000,"High",IF(Fact_Table[[#This Row],[0/P Producyivity/Day]]&gt;=500,"Medium","Low"))</f>
        <v>High</v>
      </c>
      <c r="Q5" s="10">
        <f>Fact_Table[[#This Row],[Capacity_BPD]]/Fact_Table[[#This Row],[Average_Salary_AED]]</f>
        <v>63.551903237282104</v>
      </c>
      <c r="R5" s="15">
        <f>(Fact_Table[[#This Row],[Petrol_Output_BPD]]/Fact_Table[[#This Row],[Capacity_BPD]])</f>
        <v>0.46093468365087292</v>
      </c>
      <c r="S5" s="15">
        <f>Fact_Table[[#This Row],[Diesel_Output_BPD]]/Fact_Table[[#This Row],[Capacity_BPD]]</f>
        <v>0.34309611720266631</v>
      </c>
      <c r="T5" s="15">
        <f>Fact_Table[[#This Row],[Gas_Output_BPD]]/Fact_Table[[#This Row],[Capacity_BPD]]</f>
        <v>0.19596807960395063</v>
      </c>
      <c r="U5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5" s="8">
        <f ca="1">YEAR(TODAY())-Fact_Table[[#This Row],[Commissioned_Year]]</f>
        <v>34</v>
      </c>
      <c r="W5" s="41" cm="1">
        <f t="array" ref="W5">_xlfn.XLOOKUP(Fact_Table[[#This Row],[Commissioned_Year]],cost_table[[#All],[Year]],cost_table[[#All],[Average_Crude_Price_USD_per_Barrel]],"0")</f>
        <v>18.399999999999999</v>
      </c>
      <c r="X5" s="40">
        <f>Fact_Table[[#This Row],[Capacity_BPD]]*Fact_Table[[#This Row],[cost per barrel]]</f>
        <v>16435284.799999999</v>
      </c>
    </row>
    <row r="6" spans="1:24" x14ac:dyDescent="0.35">
      <c r="A6" t="s">
        <v>60</v>
      </c>
      <c r="B6" t="s">
        <v>26</v>
      </c>
      <c r="C6" t="s">
        <v>46</v>
      </c>
      <c r="D6" s="5">
        <v>567323</v>
      </c>
      <c r="E6" s="5">
        <v>1999</v>
      </c>
      <c r="F6" s="5">
        <v>764</v>
      </c>
      <c r="G6" s="3" t="s">
        <v>21</v>
      </c>
      <c r="H6" s="4">
        <v>8.44</v>
      </c>
      <c r="I6" s="4">
        <v>6.42</v>
      </c>
      <c r="J6" s="5">
        <v>237993</v>
      </c>
      <c r="K6" s="5">
        <v>247493</v>
      </c>
      <c r="L6" s="5">
        <v>81836</v>
      </c>
      <c r="M6" s="3" t="s">
        <v>23</v>
      </c>
      <c r="N6" s="10">
        <v>8458</v>
      </c>
      <c r="O6" s="12">
        <f>(Fact_Table[[#This Row],[Petrol_Output_BPD]]+Fact_Table[[#This Row],[Diesel_Output_BPD]]+Fact_Table[[#This Row],[Gas_Output_BPD]])/Fact_Table[[#This Row],[No_of_Employees]]</f>
        <v>742.56806282722516</v>
      </c>
      <c r="P6" s="2" t="str">
        <f>IF(Fact_Table[[#This Row],[0/P Producyivity/Day]]&gt;=1000,"High",IF(Fact_Table[[#This Row],[0/P Producyivity/Day]]&gt;=500,"Medium","Low"))</f>
        <v>Medium</v>
      </c>
      <c r="Q6" s="10">
        <f>Fact_Table[[#This Row],[Capacity_BPD]]/Fact_Table[[#This Row],[Average_Salary_AED]]</f>
        <v>67.07531331283991</v>
      </c>
      <c r="R6" s="15">
        <f>(Fact_Table[[#This Row],[Petrol_Output_BPD]]/Fact_Table[[#This Row],[Capacity_BPD]])</f>
        <v>0.4195017653082988</v>
      </c>
      <c r="S6" s="15">
        <f>Fact_Table[[#This Row],[Diesel_Output_BPD]]/Fact_Table[[#This Row],[Capacity_BPD]]</f>
        <v>0.4362470761805885</v>
      </c>
      <c r="T6" s="15">
        <f>Fact_Table[[#This Row],[Gas_Output_BPD]]/Fact_Table[[#This Row],[Capacity_BPD]]</f>
        <v>0.14424939584681037</v>
      </c>
      <c r="U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6" s="8">
        <f ca="1">YEAR(TODAY())-Fact_Table[[#This Row],[Commissioned_Year]]</f>
        <v>26</v>
      </c>
      <c r="W6" s="41" cm="1">
        <f t="array" ref="W6">_xlfn.XLOOKUP(Fact_Table[[#This Row],[Commissioned_Year]],cost_table[[#All],[Year]],cost_table[[#All],[Average_Crude_Price_USD_per_Barrel]],"0")</f>
        <v>17</v>
      </c>
      <c r="X6" s="40">
        <f>Fact_Table[[#This Row],[Capacity_BPD]]*Fact_Table[[#This Row],[cost per barrel]]</f>
        <v>9644491</v>
      </c>
    </row>
    <row r="7" spans="1:24" x14ac:dyDescent="0.35">
      <c r="A7" t="s">
        <v>27</v>
      </c>
      <c r="B7" t="s">
        <v>26</v>
      </c>
      <c r="C7" t="s">
        <v>46</v>
      </c>
      <c r="D7" s="5">
        <v>732249</v>
      </c>
      <c r="E7" s="5">
        <v>2001</v>
      </c>
      <c r="F7" s="5">
        <v>825</v>
      </c>
      <c r="G7" s="3" t="s">
        <v>28</v>
      </c>
      <c r="H7" s="4">
        <v>19.12</v>
      </c>
      <c r="I7" s="4">
        <v>8.4600000000000009</v>
      </c>
      <c r="J7" s="5">
        <v>296517</v>
      </c>
      <c r="K7" s="5">
        <v>281412</v>
      </c>
      <c r="L7" s="5">
        <v>154319</v>
      </c>
      <c r="M7" s="3" t="s">
        <v>29</v>
      </c>
      <c r="N7" s="10">
        <v>18262</v>
      </c>
      <c r="O7" s="12">
        <f>(Fact_Table[[#This Row],[Petrol_Output_BPD]]+Fact_Table[[#This Row],[Diesel_Output_BPD]]+Fact_Table[[#This Row],[Gas_Output_BPD]])/Fact_Table[[#This Row],[No_of_Employees]]</f>
        <v>887.57333333333338</v>
      </c>
      <c r="P7" s="2" t="str">
        <f>IF(Fact_Table[[#This Row],[0/P Producyivity/Day]]&gt;=1000,"High",IF(Fact_Table[[#This Row],[0/P Producyivity/Day]]&gt;=500,"Medium","Low"))</f>
        <v>Medium</v>
      </c>
      <c r="Q7" s="10">
        <f>Fact_Table[[#This Row],[Capacity_BPD]]/Fact_Table[[#This Row],[Average_Salary_AED]]</f>
        <v>40.096867812944915</v>
      </c>
      <c r="R7" s="15">
        <f>(Fact_Table[[#This Row],[Petrol_Output_BPD]]/Fact_Table[[#This Row],[Capacity_BPD]])</f>
        <v>0.40494012282707109</v>
      </c>
      <c r="S7" s="15">
        <f>Fact_Table[[#This Row],[Diesel_Output_BPD]]/Fact_Table[[#This Row],[Capacity_BPD]]</f>
        <v>0.38431189390494219</v>
      </c>
      <c r="T7" s="15">
        <f>Fact_Table[[#This Row],[Gas_Output_BPD]]/Fact_Table[[#This Row],[Capacity_BPD]]</f>
        <v>0.21074661761231495</v>
      </c>
      <c r="U7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7" s="8">
        <f ca="1">YEAR(TODAY())-Fact_Table[[#This Row],[Commissioned_Year]]</f>
        <v>24</v>
      </c>
      <c r="W7" s="41" cm="1">
        <f t="array" ref="W7">_xlfn.XLOOKUP(Fact_Table[[#This Row],[Commissioned_Year]],cost_table[[#All],[Year]],cost_table[[#All],[Average_Crude_Price_USD_per_Barrel]],"0")</f>
        <v>28.4</v>
      </c>
      <c r="X7" s="40">
        <f>Fact_Table[[#This Row],[Capacity_BPD]]*Fact_Table[[#This Row],[cost per barrel]]</f>
        <v>20795871.599999998</v>
      </c>
    </row>
    <row r="8" spans="1:24" x14ac:dyDescent="0.35">
      <c r="A8" t="s">
        <v>18</v>
      </c>
      <c r="B8" t="s">
        <v>14</v>
      </c>
      <c r="C8" t="s">
        <v>46</v>
      </c>
      <c r="D8" s="5">
        <v>720812</v>
      </c>
      <c r="E8" s="5">
        <v>2011</v>
      </c>
      <c r="F8" s="5">
        <v>770</v>
      </c>
      <c r="G8" s="3" t="s">
        <v>28</v>
      </c>
      <c r="H8" s="4">
        <v>32.31</v>
      </c>
      <c r="I8" s="4">
        <v>5.98</v>
      </c>
      <c r="J8" s="5">
        <v>237996</v>
      </c>
      <c r="K8" s="5">
        <v>364723</v>
      </c>
      <c r="L8" s="5">
        <v>118091</v>
      </c>
      <c r="M8" s="3" t="s">
        <v>29</v>
      </c>
      <c r="N8" s="10">
        <v>20511</v>
      </c>
      <c r="O8" s="12">
        <f>(Fact_Table[[#This Row],[Petrol_Output_BPD]]+Fact_Table[[#This Row],[Diesel_Output_BPD]]+Fact_Table[[#This Row],[Gas_Output_BPD]])/Fact_Table[[#This Row],[No_of_Employees]]</f>
        <v>936.11688311688317</v>
      </c>
      <c r="P8" s="2" t="str">
        <f>IF(Fact_Table[[#This Row],[0/P Producyivity/Day]]&gt;=1000,"High",IF(Fact_Table[[#This Row],[0/P Producyivity/Day]]&gt;=500,"Medium","Low"))</f>
        <v>Medium</v>
      </c>
      <c r="Q8" s="10">
        <f>Fact_Table[[#This Row],[Capacity_BPD]]/Fact_Table[[#This Row],[Average_Salary_AED]]</f>
        <v>35.142703914972451</v>
      </c>
      <c r="R8" s="15">
        <f>(Fact_Table[[#This Row],[Petrol_Output_BPD]]/Fact_Table[[#This Row],[Capacity_BPD]])</f>
        <v>0.33017763300278019</v>
      </c>
      <c r="S8" s="15">
        <f>Fact_Table[[#This Row],[Diesel_Output_BPD]]/Fact_Table[[#This Row],[Capacity_BPD]]</f>
        <v>0.50598907898314682</v>
      </c>
      <c r="T8" s="15">
        <f>Fact_Table[[#This Row],[Gas_Output_BPD]]/Fact_Table[[#This Row],[Capacity_BPD]]</f>
        <v>0.16383051336548227</v>
      </c>
      <c r="U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8" s="8">
        <f ca="1">YEAR(TODAY())-Fact_Table[[#This Row],[Commissioned_Year]]</f>
        <v>14</v>
      </c>
      <c r="W8" s="41" cm="1">
        <f t="array" ref="W8">_xlfn.XLOOKUP(Fact_Table[[#This Row],[Commissioned_Year]],cost_table[[#All],[Year]],cost_table[[#All],[Average_Crude_Price_USD_per_Barrel]],"0")</f>
        <v>66.099999999999994</v>
      </c>
      <c r="X8" s="40">
        <f>Fact_Table[[#This Row],[Capacity_BPD]]*Fact_Table[[#This Row],[cost per barrel]]</f>
        <v>47645673.199999996</v>
      </c>
    </row>
    <row r="9" spans="1:24" x14ac:dyDescent="0.35">
      <c r="A9" t="s">
        <v>30</v>
      </c>
      <c r="B9" t="s">
        <v>26</v>
      </c>
      <c r="C9" t="s">
        <v>46</v>
      </c>
      <c r="D9" s="5">
        <v>727271</v>
      </c>
      <c r="E9" s="5">
        <v>2018</v>
      </c>
      <c r="F9" s="5">
        <v>1790</v>
      </c>
      <c r="G9" s="3" t="s">
        <v>31</v>
      </c>
      <c r="H9" s="4">
        <v>3.68</v>
      </c>
      <c r="I9" s="4">
        <v>5.05</v>
      </c>
      <c r="J9" s="5">
        <v>272646</v>
      </c>
      <c r="K9" s="5">
        <v>340564</v>
      </c>
      <c r="L9" s="5">
        <v>114060</v>
      </c>
      <c r="M9" s="3" t="s">
        <v>23</v>
      </c>
      <c r="N9" s="10">
        <v>9175</v>
      </c>
      <c r="O9" s="12">
        <f>(Fact_Table[[#This Row],[Petrol_Output_BPD]]+Fact_Table[[#This Row],[Diesel_Output_BPD]]+Fact_Table[[#This Row],[Gas_Output_BPD]])/Fact_Table[[#This Row],[No_of_Employees]]</f>
        <v>406.29608938547489</v>
      </c>
      <c r="P9" s="2" t="str">
        <f>IF(Fact_Table[[#This Row],[0/P Producyivity/Day]]&gt;=1000,"High",IF(Fact_Table[[#This Row],[0/P Producyivity/Day]]&gt;=500,"Medium","Low"))</f>
        <v>Low</v>
      </c>
      <c r="Q9" s="10">
        <f>Fact_Table[[#This Row],[Capacity_BPD]]/Fact_Table[[#This Row],[Average_Salary_AED]]</f>
        <v>79.266594005449591</v>
      </c>
      <c r="R9" s="15">
        <f>(Fact_Table[[#This Row],[Petrol_Output_BPD]]/Fact_Table[[#This Row],[Capacity_BPD]])</f>
        <v>0.37488914036170834</v>
      </c>
      <c r="S9" s="15">
        <f>Fact_Table[[#This Row],[Diesel_Output_BPD]]/Fact_Table[[#This Row],[Capacity_BPD]]</f>
        <v>0.46827661215695388</v>
      </c>
      <c r="T9" s="15">
        <f>Fact_Table[[#This Row],[Gas_Output_BPD]]/Fact_Table[[#This Row],[Capacity_BPD]]</f>
        <v>0.15683287247807212</v>
      </c>
      <c r="U9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9" s="8">
        <f ca="1">YEAR(TODAY())-Fact_Table[[#This Row],[Commissioned_Year]]</f>
        <v>7</v>
      </c>
      <c r="W9" s="41" cm="1">
        <f t="array" ref="W9">_xlfn.XLOOKUP(Fact_Table[[#This Row],[Commissioned_Year]],cost_table[[#All],[Year]],cost_table[[#All],[Average_Crude_Price_USD_per_Barrel]],"0")</f>
        <v>100.2</v>
      </c>
      <c r="X9" s="40">
        <f>Fact_Table[[#This Row],[Capacity_BPD]]*Fact_Table[[#This Row],[cost per barrel]]</f>
        <v>72872554.200000003</v>
      </c>
    </row>
    <row r="10" spans="1:24" x14ac:dyDescent="0.35">
      <c r="A10" t="s">
        <v>18</v>
      </c>
      <c r="B10" t="s">
        <v>32</v>
      </c>
      <c r="C10" t="s">
        <v>33</v>
      </c>
      <c r="D10" s="5">
        <v>476102</v>
      </c>
      <c r="E10" s="5">
        <v>2013</v>
      </c>
      <c r="F10" s="5">
        <v>1527</v>
      </c>
      <c r="G10" s="3" t="s">
        <v>16</v>
      </c>
      <c r="H10" s="4">
        <v>7.23</v>
      </c>
      <c r="I10" s="4">
        <v>7.23</v>
      </c>
      <c r="J10" s="5">
        <v>190924</v>
      </c>
      <c r="K10" s="5">
        <v>182754</v>
      </c>
      <c r="L10" s="5">
        <v>102422</v>
      </c>
      <c r="M10" s="3" t="s">
        <v>34</v>
      </c>
      <c r="N10" s="10">
        <v>15886</v>
      </c>
      <c r="O10" s="12">
        <f>(Fact_Table[[#This Row],[Petrol_Output_BPD]]+Fact_Table[[#This Row],[Diesel_Output_BPD]]+Fact_Table[[#This Row],[Gas_Output_BPD]])/Fact_Table[[#This Row],[No_of_Employees]]</f>
        <v>311.7878192534381</v>
      </c>
      <c r="P10" s="2" t="str">
        <f>IF(Fact_Table[[#This Row],[0/P Producyivity/Day]]&gt;=1000,"High",IF(Fact_Table[[#This Row],[0/P Producyivity/Day]]&gt;=500,"Medium","Low"))</f>
        <v>Low</v>
      </c>
      <c r="Q10" s="10">
        <f>Fact_Table[[#This Row],[Capacity_BPD]]/Fact_Table[[#This Row],[Average_Salary_AED]]</f>
        <v>29.969910613118468</v>
      </c>
      <c r="R10" s="15">
        <f>(Fact_Table[[#This Row],[Petrol_Output_BPD]]/Fact_Table[[#This Row],[Capacity_BPD]])</f>
        <v>0.40101490857001232</v>
      </c>
      <c r="S10" s="15">
        <f>Fact_Table[[#This Row],[Diesel_Output_BPD]]/Fact_Table[[#This Row],[Capacity_BPD]]</f>
        <v>0.38385472020701444</v>
      </c>
      <c r="T10" s="15">
        <f>Fact_Table[[#This Row],[Gas_Output_BPD]]/Fact_Table[[#This Row],[Capacity_BPD]]</f>
        <v>0.21512617044246821</v>
      </c>
      <c r="U10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0" s="8">
        <f ca="1">YEAR(TODAY())-Fact_Table[[#This Row],[Commissioned_Year]]</f>
        <v>12</v>
      </c>
      <c r="W10" s="41" cm="1">
        <f t="array" ref="W10">_xlfn.XLOOKUP(Fact_Table[[#This Row],[Commissioned_Year]],cost_table[[#All],[Year]],cost_table[[#All],[Average_Crude_Price_USD_per_Barrel]],"0")</f>
        <v>97.3</v>
      </c>
      <c r="X10" s="40">
        <f>Fact_Table[[#This Row],[Capacity_BPD]]*Fact_Table[[#This Row],[cost per barrel]]</f>
        <v>46324724.600000001</v>
      </c>
    </row>
    <row r="11" spans="1:24" x14ac:dyDescent="0.35">
      <c r="A11" t="s">
        <v>35</v>
      </c>
      <c r="B11" t="s">
        <v>14</v>
      </c>
      <c r="C11" t="s">
        <v>15</v>
      </c>
      <c r="D11" s="5">
        <v>294966</v>
      </c>
      <c r="E11" s="5">
        <v>2002</v>
      </c>
      <c r="F11" s="5">
        <v>1353</v>
      </c>
      <c r="G11" s="3" t="s">
        <v>16</v>
      </c>
      <c r="H11" s="4">
        <v>26.72</v>
      </c>
      <c r="I11" s="4">
        <v>7.59</v>
      </c>
      <c r="J11" s="5">
        <v>106497</v>
      </c>
      <c r="K11" s="5">
        <v>106798</v>
      </c>
      <c r="L11" s="5">
        <v>81669</v>
      </c>
      <c r="M11" s="3" t="s">
        <v>23</v>
      </c>
      <c r="N11" s="10">
        <v>10582</v>
      </c>
      <c r="O11" s="12">
        <f>(Fact_Table[[#This Row],[Petrol_Output_BPD]]+Fact_Table[[#This Row],[Diesel_Output_BPD]]+Fact_Table[[#This Row],[Gas_Output_BPD]])/Fact_Table[[#This Row],[No_of_Employees]]</f>
        <v>218.00739098300073</v>
      </c>
      <c r="P11" s="2" t="str">
        <f>IF(Fact_Table[[#This Row],[0/P Producyivity/Day]]&gt;=1000,"High",IF(Fact_Table[[#This Row],[0/P Producyivity/Day]]&gt;=500,"Medium","Low"))</f>
        <v>Low</v>
      </c>
      <c r="Q11" s="10">
        <f>Fact_Table[[#This Row],[Capacity_BPD]]/Fact_Table[[#This Row],[Average_Salary_AED]]</f>
        <v>27.874314874314873</v>
      </c>
      <c r="R11" s="15">
        <f>(Fact_Table[[#This Row],[Petrol_Output_BPD]]/Fact_Table[[#This Row],[Capacity_BPD]])</f>
        <v>0.3610483920180631</v>
      </c>
      <c r="S11" s="15">
        <f>Fact_Table[[#This Row],[Diesel_Output_BPD]]/Fact_Table[[#This Row],[Capacity_BPD]]</f>
        <v>0.36206884861306049</v>
      </c>
      <c r="T11" s="15">
        <f>Fact_Table[[#This Row],[Gas_Output_BPD]]/Fact_Table[[#This Row],[Capacity_BPD]]</f>
        <v>0.27687597892638471</v>
      </c>
      <c r="U1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1" s="8">
        <f ca="1">YEAR(TODAY())-Fact_Table[[#This Row],[Commissioned_Year]]</f>
        <v>23</v>
      </c>
      <c r="W11" s="41" cm="1">
        <f t="array" ref="W11">_xlfn.XLOOKUP(Fact_Table[[#This Row],[Commissioned_Year]],cost_table[[#All],[Year]],cost_table[[#All],[Average_Crude_Price_USD_per_Barrel]],"0")</f>
        <v>24.4</v>
      </c>
      <c r="X11" s="40">
        <f>Fact_Table[[#This Row],[Capacity_BPD]]*Fact_Table[[#This Row],[cost per barrel]]</f>
        <v>7197170.3999999994</v>
      </c>
    </row>
    <row r="12" spans="1:24" x14ac:dyDescent="0.35">
      <c r="A12" t="s">
        <v>36</v>
      </c>
      <c r="B12" t="s">
        <v>19</v>
      </c>
      <c r="C12" t="s">
        <v>20</v>
      </c>
      <c r="D12" s="5">
        <v>128263</v>
      </c>
      <c r="E12" s="5">
        <v>1994</v>
      </c>
      <c r="F12" s="5">
        <v>750</v>
      </c>
      <c r="G12" s="3" t="s">
        <v>16</v>
      </c>
      <c r="H12" s="4">
        <v>1.65</v>
      </c>
      <c r="I12" s="4">
        <v>8.66</v>
      </c>
      <c r="J12" s="5">
        <v>48859</v>
      </c>
      <c r="K12" s="5">
        <v>52204</v>
      </c>
      <c r="L12" s="5">
        <v>27198</v>
      </c>
      <c r="M12" s="3" t="s">
        <v>23</v>
      </c>
      <c r="N12" s="10">
        <v>14185</v>
      </c>
      <c r="O12" s="12">
        <f>(Fact_Table[[#This Row],[Petrol_Output_BPD]]+Fact_Table[[#This Row],[Diesel_Output_BPD]]+Fact_Table[[#This Row],[Gas_Output_BPD]])/Fact_Table[[#This Row],[No_of_Employees]]</f>
        <v>171.01466666666667</v>
      </c>
      <c r="P12" s="2" t="str">
        <f>IF(Fact_Table[[#This Row],[0/P Producyivity/Day]]&gt;=1000,"High",IF(Fact_Table[[#This Row],[0/P Producyivity/Day]]&gt;=500,"Medium","Low"))</f>
        <v>Low</v>
      </c>
      <c r="Q12" s="10">
        <f>Fact_Table[[#This Row],[Capacity_BPD]]/Fact_Table[[#This Row],[Average_Salary_AED]]</f>
        <v>9.0421572083186472</v>
      </c>
      <c r="R12" s="15">
        <f>(Fact_Table[[#This Row],[Petrol_Output_BPD]]/Fact_Table[[#This Row],[Capacity_BPD]])</f>
        <v>0.38092824898840666</v>
      </c>
      <c r="S12" s="15">
        <f>Fact_Table[[#This Row],[Diesel_Output_BPD]]/Fact_Table[[#This Row],[Capacity_BPD]]</f>
        <v>0.40700747682496119</v>
      </c>
      <c r="T12" s="15">
        <f>Fact_Table[[#This Row],[Gas_Output_BPD]]/Fact_Table[[#This Row],[Capacity_BPD]]</f>
        <v>0.21204868122529491</v>
      </c>
      <c r="U12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2" s="8">
        <f ca="1">YEAR(TODAY())-Fact_Table[[#This Row],[Commissioned_Year]]</f>
        <v>31</v>
      </c>
      <c r="W12" s="41" cm="1">
        <f t="array" ref="W12">_xlfn.XLOOKUP(Fact_Table[[#This Row],[Commissioned_Year]],cost_table[[#All],[Year]],cost_table[[#All],[Average_Crude_Price_USD_per_Barrel]],"0")</f>
        <v>15.9</v>
      </c>
      <c r="X12" s="40">
        <f>Fact_Table[[#This Row],[Capacity_BPD]]*Fact_Table[[#This Row],[cost per barrel]]</f>
        <v>2039381.7</v>
      </c>
    </row>
    <row r="13" spans="1:24" x14ac:dyDescent="0.35">
      <c r="A13" t="s">
        <v>37</v>
      </c>
      <c r="B13" t="s">
        <v>26</v>
      </c>
      <c r="C13" t="s">
        <v>47</v>
      </c>
      <c r="D13" s="5">
        <v>548928</v>
      </c>
      <c r="E13" s="5">
        <v>1988</v>
      </c>
      <c r="F13" s="5">
        <v>1136</v>
      </c>
      <c r="G13" s="3" t="s">
        <v>21</v>
      </c>
      <c r="H13" s="4">
        <v>34.229999999999997</v>
      </c>
      <c r="I13" s="4">
        <v>5.29</v>
      </c>
      <c r="J13" s="5">
        <v>201163</v>
      </c>
      <c r="K13" s="5">
        <v>230274</v>
      </c>
      <c r="L13" s="5">
        <v>117489</v>
      </c>
      <c r="M13" s="3" t="s">
        <v>38</v>
      </c>
      <c r="N13" s="10">
        <v>19606</v>
      </c>
      <c r="O13" s="12">
        <f>(Fact_Table[[#This Row],[Petrol_Output_BPD]]+Fact_Table[[#This Row],[Diesel_Output_BPD]]+Fact_Table[[#This Row],[Gas_Output_BPD]])/Fact_Table[[#This Row],[No_of_Employees]]</f>
        <v>483.20950704225351</v>
      </c>
      <c r="P13" s="2" t="str">
        <f>IF(Fact_Table[[#This Row],[0/P Producyivity/Day]]&gt;=1000,"High",IF(Fact_Table[[#This Row],[0/P Producyivity/Day]]&gt;=500,"Medium","Low"))</f>
        <v>Low</v>
      </c>
      <c r="Q13" s="10">
        <f>Fact_Table[[#This Row],[Capacity_BPD]]/Fact_Table[[#This Row],[Average_Salary_AED]]</f>
        <v>27.997959808221974</v>
      </c>
      <c r="R13" s="15">
        <f>(Fact_Table[[#This Row],[Petrol_Output_BPD]]/Fact_Table[[#This Row],[Capacity_BPD]])</f>
        <v>0.36646518304768566</v>
      </c>
      <c r="S13" s="15">
        <f>Fact_Table[[#This Row],[Diesel_Output_BPD]]/Fact_Table[[#This Row],[Capacity_BPD]]</f>
        <v>0.4194976390346275</v>
      </c>
      <c r="T13" s="15">
        <f>Fact_Table[[#This Row],[Gas_Output_BPD]]/Fact_Table[[#This Row],[Capacity_BPD]]</f>
        <v>0.21403353445260581</v>
      </c>
      <c r="U13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3" s="8">
        <f ca="1">YEAR(TODAY())-Fact_Table[[#This Row],[Commissioned_Year]]</f>
        <v>37</v>
      </c>
      <c r="W13" s="41" cm="1">
        <f t="array" ref="W13">_xlfn.XLOOKUP(Fact_Table[[#This Row],[Commissioned_Year]],cost_table[[#All],[Year]],cost_table[[#All],[Average_Crude_Price_USD_per_Barrel]],"0")</f>
        <v>14.9</v>
      </c>
      <c r="X13" s="40">
        <f>Fact_Table[[#This Row],[Capacity_BPD]]*Fact_Table[[#This Row],[cost per barrel]]</f>
        <v>8179027.2000000002</v>
      </c>
    </row>
    <row r="14" spans="1:24" x14ac:dyDescent="0.35">
      <c r="A14" t="s">
        <v>35</v>
      </c>
      <c r="B14" t="s">
        <v>26</v>
      </c>
      <c r="C14" t="s">
        <v>20</v>
      </c>
      <c r="D14" s="5">
        <v>809530</v>
      </c>
      <c r="E14" s="5">
        <v>2010</v>
      </c>
      <c r="F14" s="5">
        <v>1529</v>
      </c>
      <c r="G14" s="3" t="s">
        <v>28</v>
      </c>
      <c r="H14" s="4">
        <v>20.29</v>
      </c>
      <c r="I14" s="4">
        <v>9.4499999999999993</v>
      </c>
      <c r="J14" s="5">
        <v>389181</v>
      </c>
      <c r="K14" s="5">
        <v>296448</v>
      </c>
      <c r="L14" s="5">
        <v>123900</v>
      </c>
      <c r="M14" s="3" t="s">
        <v>29</v>
      </c>
      <c r="N14" s="10">
        <v>24526</v>
      </c>
      <c r="O14" s="12">
        <f>(Fact_Table[[#This Row],[Petrol_Output_BPD]]+Fact_Table[[#This Row],[Diesel_Output_BPD]]+Fact_Table[[#This Row],[Gas_Output_BPD]])/Fact_Table[[#This Row],[No_of_Employees]]</f>
        <v>529.44996729888817</v>
      </c>
      <c r="P14" s="2" t="str">
        <f>IF(Fact_Table[[#This Row],[0/P Producyivity/Day]]&gt;=1000,"High",IF(Fact_Table[[#This Row],[0/P Producyivity/Day]]&gt;=500,"Medium","Low"))</f>
        <v>Medium</v>
      </c>
      <c r="Q14" s="10">
        <f>Fact_Table[[#This Row],[Capacity_BPD]]/Fact_Table[[#This Row],[Average_Salary_AED]]</f>
        <v>33.007012965832175</v>
      </c>
      <c r="R14" s="15">
        <f>(Fact_Table[[#This Row],[Petrol_Output_BPD]]/Fact_Table[[#This Row],[Capacity_BPD]])</f>
        <v>0.48074932368164242</v>
      </c>
      <c r="S14" s="15">
        <f>Fact_Table[[#This Row],[Diesel_Output_BPD]]/Fact_Table[[#This Row],[Capacity_BPD]]</f>
        <v>0.36619767025310984</v>
      </c>
      <c r="T14" s="15">
        <f>Fact_Table[[#This Row],[Gas_Output_BPD]]/Fact_Table[[#This Row],[Capacity_BPD]]</f>
        <v>0.15305177078057638</v>
      </c>
      <c r="U14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4" s="8">
        <f ca="1">YEAR(TODAY())-Fact_Table[[#This Row],[Commissioned_Year]]</f>
        <v>15</v>
      </c>
      <c r="W14" s="41" cm="1">
        <f t="array" ref="W14">_xlfn.XLOOKUP(Fact_Table[[#This Row],[Commissioned_Year]],cost_table[[#All],[Year]],cost_table[[#All],[Average_Crude_Price_USD_per_Barrel]],"0")</f>
        <v>56.6</v>
      </c>
      <c r="X14" s="40">
        <f>Fact_Table[[#This Row],[Capacity_BPD]]*Fact_Table[[#This Row],[cost per barrel]]</f>
        <v>45819398</v>
      </c>
    </row>
    <row r="15" spans="1:24" x14ac:dyDescent="0.35">
      <c r="A15" t="s">
        <v>36</v>
      </c>
      <c r="B15" t="s">
        <v>14</v>
      </c>
      <c r="C15" t="s">
        <v>39</v>
      </c>
      <c r="D15" s="5">
        <v>512708</v>
      </c>
      <c r="E15" s="5">
        <v>2002</v>
      </c>
      <c r="F15" s="5">
        <v>1418</v>
      </c>
      <c r="G15" s="3" t="s">
        <v>31</v>
      </c>
      <c r="H15" s="4">
        <v>13.03</v>
      </c>
      <c r="I15" s="4">
        <v>7.25</v>
      </c>
      <c r="J15" s="5">
        <v>175622</v>
      </c>
      <c r="K15" s="5">
        <v>229526</v>
      </c>
      <c r="L15" s="5">
        <v>107559</v>
      </c>
      <c r="M15" s="3" t="s">
        <v>29</v>
      </c>
      <c r="N15" s="10">
        <v>24282</v>
      </c>
      <c r="O15" s="12">
        <f>(Fact_Table[[#This Row],[Petrol_Output_BPD]]+Fact_Table[[#This Row],[Diesel_Output_BPD]]+Fact_Table[[#This Row],[Gas_Output_BPD]])/Fact_Table[[#This Row],[No_of_Employees]]</f>
        <v>361.57052186177714</v>
      </c>
      <c r="P15" s="2" t="str">
        <f>IF(Fact_Table[[#This Row],[0/P Producyivity/Day]]&gt;=1000,"High",IF(Fact_Table[[#This Row],[0/P Producyivity/Day]]&gt;=500,"Medium","Low"))</f>
        <v>Low</v>
      </c>
      <c r="Q15" s="10">
        <f>Fact_Table[[#This Row],[Capacity_BPD]]/Fact_Table[[#This Row],[Average_Salary_AED]]</f>
        <v>21.114735194794498</v>
      </c>
      <c r="R15" s="15">
        <f>(Fact_Table[[#This Row],[Petrol_Output_BPD]]/Fact_Table[[#This Row],[Capacity_BPD]])</f>
        <v>0.34253805284879502</v>
      </c>
      <c r="S15" s="15">
        <f>Fact_Table[[#This Row],[Diesel_Output_BPD]]/Fact_Table[[#This Row],[Capacity_BPD]]</f>
        <v>0.44767391965797299</v>
      </c>
      <c r="T15" s="15">
        <f>Fact_Table[[#This Row],[Gas_Output_BPD]]/Fact_Table[[#This Row],[Capacity_BPD]]</f>
        <v>0.20978607706530814</v>
      </c>
      <c r="U15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5" s="8">
        <f ca="1">YEAR(TODAY())-Fact_Table[[#This Row],[Commissioned_Year]]</f>
        <v>23</v>
      </c>
      <c r="W15" s="41" cm="1">
        <f t="array" ref="W15">_xlfn.XLOOKUP(Fact_Table[[#This Row],[Commissioned_Year]],cost_table[[#All],[Year]],cost_table[[#All],[Average_Crude_Price_USD_per_Barrel]],"0")</f>
        <v>24.4</v>
      </c>
      <c r="X15" s="40">
        <f>Fact_Table[[#This Row],[Capacity_BPD]]*Fact_Table[[#This Row],[cost per barrel]]</f>
        <v>12510075.199999999</v>
      </c>
    </row>
    <row r="16" spans="1:24" x14ac:dyDescent="0.35">
      <c r="A16" t="s">
        <v>37</v>
      </c>
      <c r="B16" t="s">
        <v>40</v>
      </c>
      <c r="C16" t="s">
        <v>48</v>
      </c>
      <c r="D16" s="5">
        <v>859727</v>
      </c>
      <c r="E16" s="5">
        <v>2012</v>
      </c>
      <c r="F16" s="5">
        <v>1194</v>
      </c>
      <c r="G16" s="3" t="s">
        <v>21</v>
      </c>
      <c r="H16" s="4">
        <v>11.7</v>
      </c>
      <c r="I16" s="4">
        <v>6.82</v>
      </c>
      <c r="J16" s="5">
        <v>310098</v>
      </c>
      <c r="K16" s="5">
        <v>444896</v>
      </c>
      <c r="L16" s="5">
        <v>104732</v>
      </c>
      <c r="M16" s="3" t="s">
        <v>29</v>
      </c>
      <c r="N16" s="10">
        <v>20539</v>
      </c>
      <c r="O16" s="12">
        <f>(Fact_Table[[#This Row],[Petrol_Output_BPD]]+Fact_Table[[#This Row],[Diesel_Output_BPD]]+Fact_Table[[#This Row],[Gas_Output_BPD]])/Fact_Table[[#This Row],[No_of_Employees]]</f>
        <v>720.03852596314903</v>
      </c>
      <c r="P16" s="2" t="str">
        <f>IF(Fact_Table[[#This Row],[0/P Producyivity/Day]]&gt;=1000,"High",IF(Fact_Table[[#This Row],[0/P Producyivity/Day]]&gt;=500,"Medium","Low"))</f>
        <v>Medium</v>
      </c>
      <c r="Q16" s="10">
        <f>Fact_Table[[#This Row],[Capacity_BPD]]/Fact_Table[[#This Row],[Average_Salary_AED]]</f>
        <v>41.858269633380395</v>
      </c>
      <c r="R16" s="15">
        <f>(Fact_Table[[#This Row],[Petrol_Output_BPD]]/Fact_Table[[#This Row],[Capacity_BPD]])</f>
        <v>0.36069356900504462</v>
      </c>
      <c r="S16" s="15">
        <f>Fact_Table[[#This Row],[Diesel_Output_BPD]]/Fact_Table[[#This Row],[Capacity_BPD]]</f>
        <v>0.51748520169774825</v>
      </c>
      <c r="T16" s="15">
        <f>Fact_Table[[#This Row],[Gas_Output_BPD]]/Fact_Table[[#This Row],[Capacity_BPD]]</f>
        <v>0.12182006613727381</v>
      </c>
      <c r="U1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6" s="8">
        <f ca="1">YEAR(TODAY())-Fact_Table[[#This Row],[Commissioned_Year]]</f>
        <v>13</v>
      </c>
      <c r="W16" s="41" cm="1">
        <f t="array" ref="W16">_xlfn.XLOOKUP(Fact_Table[[#This Row],[Commissioned_Year]],cost_table[[#All],[Year]],cost_table[[#All],[Average_Crude_Price_USD_per_Barrel]],"0")</f>
        <v>72.400000000000006</v>
      </c>
      <c r="X16" s="40">
        <f>Fact_Table[[#This Row],[Capacity_BPD]]*Fact_Table[[#This Row],[cost per barrel]]</f>
        <v>62244234.800000004</v>
      </c>
    </row>
    <row r="17" spans="1:24" x14ac:dyDescent="0.35">
      <c r="A17" t="s">
        <v>45</v>
      </c>
      <c r="B17" t="s">
        <v>32</v>
      </c>
      <c r="C17" t="s">
        <v>39</v>
      </c>
      <c r="D17" s="5">
        <v>770688</v>
      </c>
      <c r="E17" s="5">
        <v>1992</v>
      </c>
      <c r="F17" s="5">
        <v>1296</v>
      </c>
      <c r="G17" s="3" t="s">
        <v>31</v>
      </c>
      <c r="H17" s="4">
        <v>22.96</v>
      </c>
      <c r="I17" s="4">
        <v>6.95</v>
      </c>
      <c r="J17" s="5">
        <v>300899</v>
      </c>
      <c r="K17" s="5">
        <v>338333</v>
      </c>
      <c r="L17" s="5">
        <v>131455</v>
      </c>
      <c r="M17" s="3" t="s">
        <v>23</v>
      </c>
      <c r="N17" s="10">
        <v>19805</v>
      </c>
      <c r="O17" s="12">
        <f>(Fact_Table[[#This Row],[Petrol_Output_BPD]]+Fact_Table[[#This Row],[Diesel_Output_BPD]]+Fact_Table[[#This Row],[Gas_Output_BPD]])/Fact_Table[[#This Row],[No_of_Employees]]</f>
        <v>594.66589506172841</v>
      </c>
      <c r="P17" s="2" t="str">
        <f>IF(Fact_Table[[#This Row],[0/P Producyivity/Day]]&gt;=1000,"High",IF(Fact_Table[[#This Row],[0/P Producyivity/Day]]&gt;=500,"Medium","Low"))</f>
        <v>Medium</v>
      </c>
      <c r="Q17" s="10">
        <f>Fact_Table[[#This Row],[Capacity_BPD]]/Fact_Table[[#This Row],[Average_Salary_AED]]</f>
        <v>38.913809644029286</v>
      </c>
      <c r="R17" s="15">
        <f>(Fact_Table[[#This Row],[Petrol_Output_BPD]]/Fact_Table[[#This Row],[Capacity_BPD]])</f>
        <v>0.39042907116758013</v>
      </c>
      <c r="S17" s="15">
        <f>Fact_Table[[#This Row],[Diesel_Output_BPD]]/Fact_Table[[#This Row],[Capacity_BPD]]</f>
        <v>0.43900125602059459</v>
      </c>
      <c r="T17" s="15">
        <f>Fact_Table[[#This Row],[Gas_Output_BPD]]/Fact_Table[[#This Row],[Capacity_BPD]]</f>
        <v>0.17056837526988872</v>
      </c>
      <c r="U17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7" s="8">
        <f ca="1">YEAR(TODAY())-Fact_Table[[#This Row],[Commissioned_Year]]</f>
        <v>33</v>
      </c>
      <c r="W17" s="41" cm="1">
        <f t="array" ref="W17">_xlfn.XLOOKUP(Fact_Table[[#This Row],[Commissioned_Year]],cost_table[[#All],[Year]],cost_table[[#All],[Average_Crude_Price_USD_per_Barrel]],"0")</f>
        <v>14.4</v>
      </c>
      <c r="X17" s="40">
        <f>Fact_Table[[#This Row],[Capacity_BPD]]*Fact_Table[[#This Row],[cost per barrel]]</f>
        <v>11097907.200000001</v>
      </c>
    </row>
    <row r="18" spans="1:24" x14ac:dyDescent="0.35">
      <c r="A18" t="s">
        <v>45</v>
      </c>
      <c r="B18" t="s">
        <v>14</v>
      </c>
      <c r="C18" t="s">
        <v>49</v>
      </c>
      <c r="D18" s="5">
        <v>318450</v>
      </c>
      <c r="E18" s="5">
        <v>2012</v>
      </c>
      <c r="F18" s="5">
        <v>2217</v>
      </c>
      <c r="G18" s="3" t="s">
        <v>21</v>
      </c>
      <c r="H18" s="4">
        <v>7.11</v>
      </c>
      <c r="I18" s="4">
        <v>6.79</v>
      </c>
      <c r="J18" s="5">
        <v>84369</v>
      </c>
      <c r="K18" s="5">
        <v>156599</v>
      </c>
      <c r="L18" s="5">
        <v>77480</v>
      </c>
      <c r="M18" s="3" t="s">
        <v>34</v>
      </c>
      <c r="N18" s="10">
        <v>12422</v>
      </c>
      <c r="O18" s="12">
        <f>(Fact_Table[[#This Row],[Petrol_Output_BPD]]+Fact_Table[[#This Row],[Diesel_Output_BPD]]+Fact_Table[[#This Row],[Gas_Output_BPD]])/Fact_Table[[#This Row],[No_of_Employees]]</f>
        <v>143.63915200721695</v>
      </c>
      <c r="P18" s="2" t="str">
        <f>IF(Fact_Table[[#This Row],[0/P Producyivity/Day]]&gt;=1000,"High",IF(Fact_Table[[#This Row],[0/P Producyivity/Day]]&gt;=500,"Medium","Low"))</f>
        <v>Low</v>
      </c>
      <c r="Q18" s="10">
        <f>Fact_Table[[#This Row],[Capacity_BPD]]/Fact_Table[[#This Row],[Average_Salary_AED]]</f>
        <v>25.635968443084849</v>
      </c>
      <c r="R18" s="15">
        <f>(Fact_Table[[#This Row],[Petrol_Output_BPD]]/Fact_Table[[#This Row],[Capacity_BPD]])</f>
        <v>0.26493641073951957</v>
      </c>
      <c r="S18" s="15">
        <f>Fact_Table[[#This Row],[Diesel_Output_BPD]]/Fact_Table[[#This Row],[Capacity_BPD]]</f>
        <v>0.49175380750510284</v>
      </c>
      <c r="T18" s="15">
        <f>Fact_Table[[#This Row],[Gas_Output_BPD]]/Fact_Table[[#This Row],[Capacity_BPD]]</f>
        <v>0.24330350133458942</v>
      </c>
      <c r="U1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8" s="8">
        <f ca="1">YEAR(TODAY())-Fact_Table[[#This Row],[Commissioned_Year]]</f>
        <v>13</v>
      </c>
      <c r="W18" s="41" cm="1">
        <f t="array" ref="W18">_xlfn.XLOOKUP(Fact_Table[[#This Row],[Commissioned_Year]],cost_table[[#All],[Year]],cost_table[[#All],[Average_Crude_Price_USD_per_Barrel]],"0")</f>
        <v>72.400000000000006</v>
      </c>
      <c r="X18" s="40">
        <f>Fact_Table[[#This Row],[Capacity_BPD]]*Fact_Table[[#This Row],[cost per barrel]]</f>
        <v>23055780</v>
      </c>
    </row>
    <row r="19" spans="1:24" x14ac:dyDescent="0.35">
      <c r="A19" t="s">
        <v>30</v>
      </c>
      <c r="B19" t="s">
        <v>41</v>
      </c>
      <c r="C19" t="s">
        <v>46</v>
      </c>
      <c r="D19" s="5">
        <v>884850</v>
      </c>
      <c r="E19" s="5">
        <v>1977</v>
      </c>
      <c r="F19" s="5">
        <v>1745</v>
      </c>
      <c r="G19" s="3" t="s">
        <v>16</v>
      </c>
      <c r="H19" s="4">
        <v>17.64</v>
      </c>
      <c r="I19" s="4">
        <v>8.1999999999999993</v>
      </c>
      <c r="J19" s="5">
        <v>295073</v>
      </c>
      <c r="K19" s="5">
        <v>443729</v>
      </c>
      <c r="L19" s="5">
        <v>146046</v>
      </c>
      <c r="M19" s="3" t="s">
        <v>23</v>
      </c>
      <c r="N19" s="10">
        <v>12220</v>
      </c>
      <c r="O19" s="12">
        <f>(Fact_Table[[#This Row],[Petrol_Output_BPD]]+Fact_Table[[#This Row],[Diesel_Output_BPD]]+Fact_Table[[#This Row],[Gas_Output_BPD]])/Fact_Table[[#This Row],[No_of_Employees]]</f>
        <v>507.076217765043</v>
      </c>
      <c r="P19" s="2" t="str">
        <f>IF(Fact_Table[[#This Row],[0/P Producyivity/Day]]&gt;=1000,"High",IF(Fact_Table[[#This Row],[0/P Producyivity/Day]]&gt;=500,"Medium","Low"))</f>
        <v>Medium</v>
      </c>
      <c r="Q19" s="10">
        <f>Fact_Table[[#This Row],[Capacity_BPD]]/Fact_Table[[#This Row],[Average_Salary_AED]]</f>
        <v>72.409983633387895</v>
      </c>
      <c r="R19" s="15">
        <f>(Fact_Table[[#This Row],[Petrol_Output_BPD]]/Fact_Table[[#This Row],[Capacity_BPD]])</f>
        <v>0.33347233994462339</v>
      </c>
      <c r="S19" s="15">
        <f>Fact_Table[[#This Row],[Diesel_Output_BPD]]/Fact_Table[[#This Row],[Capacity_BPD]]</f>
        <v>0.5014736961066848</v>
      </c>
      <c r="T19" s="15">
        <f>Fact_Table[[#This Row],[Gas_Output_BPD]]/Fact_Table[[#This Row],[Capacity_BPD]]</f>
        <v>0.1650517036785896</v>
      </c>
      <c r="U19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9" s="8">
        <f ca="1">YEAR(TODAY())-Fact_Table[[#This Row],[Commissioned_Year]]</f>
        <v>48</v>
      </c>
      <c r="W19" s="41" cm="1">
        <f t="array" ref="W19">_xlfn.XLOOKUP(Fact_Table[[#This Row],[Commissioned_Year]],cost_table[[#All],[Year]],cost_table[[#All],[Average_Crude_Price_USD_per_Barrel]],"0")</f>
        <v>12.8</v>
      </c>
      <c r="X19" s="40">
        <f>Fact_Table[[#This Row],[Capacity_BPD]]*Fact_Table[[#This Row],[cost per barrel]]</f>
        <v>11326080</v>
      </c>
    </row>
    <row r="20" spans="1:24" x14ac:dyDescent="0.35">
      <c r="A20" t="s">
        <v>45</v>
      </c>
      <c r="B20" t="s">
        <v>19</v>
      </c>
      <c r="C20" t="s">
        <v>48</v>
      </c>
      <c r="D20" s="5">
        <v>658649</v>
      </c>
      <c r="E20" s="5">
        <v>2017</v>
      </c>
      <c r="F20" s="5">
        <v>1820</v>
      </c>
      <c r="G20" s="3" t="s">
        <v>16</v>
      </c>
      <c r="H20" s="4">
        <v>20.43</v>
      </c>
      <c r="I20" s="4">
        <v>7.06</v>
      </c>
      <c r="J20" s="5">
        <v>254792</v>
      </c>
      <c r="K20" s="5">
        <v>312010</v>
      </c>
      <c r="L20" s="5">
        <v>91846</v>
      </c>
      <c r="M20" s="3" t="s">
        <v>17</v>
      </c>
      <c r="N20" s="10">
        <v>22740</v>
      </c>
      <c r="O20" s="12">
        <f>(Fact_Table[[#This Row],[Petrol_Output_BPD]]+Fact_Table[[#This Row],[Diesel_Output_BPD]]+Fact_Table[[#This Row],[Gas_Output_BPD]])/Fact_Table[[#This Row],[No_of_Employees]]</f>
        <v>361.89450549450549</v>
      </c>
      <c r="P20" s="2" t="str">
        <f>IF(Fact_Table[[#This Row],[0/P Producyivity/Day]]&gt;=1000,"High",IF(Fact_Table[[#This Row],[0/P Producyivity/Day]]&gt;=500,"Medium","Low"))</f>
        <v>Low</v>
      </c>
      <c r="Q20" s="10">
        <f>Fact_Table[[#This Row],[Capacity_BPD]]/Fact_Table[[#This Row],[Average_Salary_AED]]</f>
        <v>28.96433597185576</v>
      </c>
      <c r="R20" s="15">
        <f>(Fact_Table[[#This Row],[Petrol_Output_BPD]]/Fact_Table[[#This Row],[Capacity_BPD]])</f>
        <v>0.38684033529239398</v>
      </c>
      <c r="S20" s="15">
        <f>Fact_Table[[#This Row],[Diesel_Output_BPD]]/Fact_Table[[#This Row],[Capacity_BPD]]</f>
        <v>0.47371209855325069</v>
      </c>
      <c r="T20" s="15">
        <f>Fact_Table[[#This Row],[Gas_Output_BPD]]/Fact_Table[[#This Row],[Capacity_BPD]]</f>
        <v>0.13944604789500933</v>
      </c>
      <c r="U20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0" s="8">
        <f ca="1">YEAR(TODAY())-Fact_Table[[#This Row],[Commissioned_Year]]</f>
        <v>8</v>
      </c>
      <c r="W20" s="41" cm="1">
        <f t="array" ref="W20">_xlfn.XLOOKUP(Fact_Table[[#This Row],[Commissioned_Year]],cost_table[[#All],[Year]],cost_table[[#All],[Average_Crude_Price_USD_per_Barrel]],"0")</f>
        <v>71.3</v>
      </c>
      <c r="X20" s="40">
        <f>Fact_Table[[#This Row],[Capacity_BPD]]*Fact_Table[[#This Row],[cost per barrel]]</f>
        <v>46961673.699999996</v>
      </c>
    </row>
    <row r="21" spans="1:24" x14ac:dyDescent="0.35">
      <c r="A21" t="s">
        <v>30</v>
      </c>
      <c r="B21" t="s">
        <v>14</v>
      </c>
      <c r="C21" t="s">
        <v>50</v>
      </c>
      <c r="D21" s="5">
        <v>232496</v>
      </c>
      <c r="E21" s="5">
        <v>1999</v>
      </c>
      <c r="F21" s="5">
        <v>468</v>
      </c>
      <c r="G21" s="3" t="s">
        <v>31</v>
      </c>
      <c r="H21" s="4">
        <v>4.04</v>
      </c>
      <c r="I21" s="4">
        <v>8.74</v>
      </c>
      <c r="J21" s="5">
        <v>88355</v>
      </c>
      <c r="K21" s="5">
        <v>92696</v>
      </c>
      <c r="L21" s="5">
        <v>51443</v>
      </c>
      <c r="M21" s="3" t="s">
        <v>17</v>
      </c>
      <c r="N21" s="10">
        <v>19358</v>
      </c>
      <c r="O21" s="12">
        <f>(Fact_Table[[#This Row],[Petrol_Output_BPD]]+Fact_Table[[#This Row],[Diesel_Output_BPD]]+Fact_Table[[#This Row],[Gas_Output_BPD]])/Fact_Table[[#This Row],[No_of_Employees]]</f>
        <v>496.78205128205127</v>
      </c>
      <c r="P21" s="2" t="str">
        <f>IF(Fact_Table[[#This Row],[0/P Producyivity/Day]]&gt;=1000,"High",IF(Fact_Table[[#This Row],[0/P Producyivity/Day]]&gt;=500,"Medium","Low"))</f>
        <v>Low</v>
      </c>
      <c r="Q21" s="10">
        <f>Fact_Table[[#This Row],[Capacity_BPD]]/Fact_Table[[#This Row],[Average_Salary_AED]]</f>
        <v>12.010331645831181</v>
      </c>
      <c r="R21" s="15">
        <f>(Fact_Table[[#This Row],[Petrol_Output_BPD]]/Fact_Table[[#This Row],[Capacity_BPD]])</f>
        <v>0.38002804349322139</v>
      </c>
      <c r="S21" s="15">
        <f>Fact_Table[[#This Row],[Diesel_Output_BPD]]/Fact_Table[[#This Row],[Capacity_BPD]]</f>
        <v>0.39869933246163375</v>
      </c>
      <c r="T21" s="15">
        <f>Fact_Table[[#This Row],[Gas_Output_BPD]]/Fact_Table[[#This Row],[Capacity_BPD]]</f>
        <v>0.2212640217466107</v>
      </c>
      <c r="U21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1" s="8">
        <f ca="1">YEAR(TODAY())-Fact_Table[[#This Row],[Commissioned_Year]]</f>
        <v>26</v>
      </c>
      <c r="W21" s="41" cm="1">
        <f t="array" ref="W21">_xlfn.XLOOKUP(Fact_Table[[#This Row],[Commissioned_Year]],cost_table[[#All],[Year]],cost_table[[#All],[Average_Crude_Price_USD_per_Barrel]],"0")</f>
        <v>17</v>
      </c>
      <c r="X21" s="40">
        <f>Fact_Table[[#This Row],[Capacity_BPD]]*Fact_Table[[#This Row],[cost per barrel]]</f>
        <v>3952432</v>
      </c>
    </row>
    <row r="22" spans="1:24" x14ac:dyDescent="0.35">
      <c r="A22" t="s">
        <v>18</v>
      </c>
      <c r="B22" t="s">
        <v>14</v>
      </c>
      <c r="C22" t="s">
        <v>48</v>
      </c>
      <c r="D22" s="5">
        <v>586328</v>
      </c>
      <c r="E22" s="5">
        <v>1977</v>
      </c>
      <c r="F22" s="5">
        <v>2340</v>
      </c>
      <c r="G22" s="3" t="s">
        <v>28</v>
      </c>
      <c r="H22" s="4">
        <v>2.69</v>
      </c>
      <c r="I22" s="4">
        <v>8.99</v>
      </c>
      <c r="J22" s="5">
        <v>244650</v>
      </c>
      <c r="K22" s="5">
        <v>236155</v>
      </c>
      <c r="L22" s="5">
        <v>105522</v>
      </c>
      <c r="M22" s="3" t="s">
        <v>17</v>
      </c>
      <c r="N22" s="10">
        <v>16480</v>
      </c>
      <c r="O22" s="12">
        <f>(Fact_Table[[#This Row],[Petrol_Output_BPD]]+Fact_Table[[#This Row],[Diesel_Output_BPD]]+Fact_Table[[#This Row],[Gas_Output_BPD]])/Fact_Table[[#This Row],[No_of_Employees]]</f>
        <v>250.56709401709401</v>
      </c>
      <c r="P22" s="2" t="str">
        <f>IF(Fact_Table[[#This Row],[0/P Producyivity/Day]]&gt;=1000,"High",IF(Fact_Table[[#This Row],[0/P Producyivity/Day]]&gt;=500,"Medium","Low"))</f>
        <v>Low</v>
      </c>
      <c r="Q22" s="10">
        <f>Fact_Table[[#This Row],[Capacity_BPD]]/Fact_Table[[#This Row],[Average_Salary_AED]]</f>
        <v>35.578155339805825</v>
      </c>
      <c r="R22" s="15">
        <f>(Fact_Table[[#This Row],[Petrol_Output_BPD]]/Fact_Table[[#This Row],[Capacity_BPD]])</f>
        <v>0.41725791707030879</v>
      </c>
      <c r="S22" s="15">
        <f>Fact_Table[[#This Row],[Diesel_Output_BPD]]/Fact_Table[[#This Row],[Capacity_BPD]]</f>
        <v>0.40276943963105977</v>
      </c>
      <c r="T22" s="15">
        <f>Fact_Table[[#This Row],[Gas_Output_BPD]]/Fact_Table[[#This Row],[Capacity_BPD]]</f>
        <v>0.17997093776862097</v>
      </c>
      <c r="U22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2" s="8">
        <f ca="1">YEAR(TODAY())-Fact_Table[[#This Row],[Commissioned_Year]]</f>
        <v>48</v>
      </c>
      <c r="W22" s="41" cm="1">
        <f t="array" ref="W22">_xlfn.XLOOKUP(Fact_Table[[#This Row],[Commissioned_Year]],cost_table[[#All],[Year]],cost_table[[#All],[Average_Crude_Price_USD_per_Barrel]],"0")</f>
        <v>12.8</v>
      </c>
      <c r="X22" s="40">
        <f>Fact_Table[[#This Row],[Capacity_BPD]]*Fact_Table[[#This Row],[cost per barrel]]</f>
        <v>7504998.4000000004</v>
      </c>
    </row>
    <row r="23" spans="1:24" x14ac:dyDescent="0.35">
      <c r="A23" t="s">
        <v>36</v>
      </c>
      <c r="B23" t="s">
        <v>40</v>
      </c>
      <c r="C23" t="s">
        <v>46</v>
      </c>
      <c r="D23" s="5">
        <v>307776</v>
      </c>
      <c r="E23" s="5">
        <v>2012</v>
      </c>
      <c r="F23" s="5">
        <v>570</v>
      </c>
      <c r="G23" s="3" t="s">
        <v>28</v>
      </c>
      <c r="H23" s="4">
        <v>4.75</v>
      </c>
      <c r="I23" s="4">
        <v>7.31</v>
      </c>
      <c r="J23" s="5">
        <v>105691</v>
      </c>
      <c r="K23" s="5">
        <v>125263</v>
      </c>
      <c r="L23" s="5">
        <v>76821</v>
      </c>
      <c r="M23" s="3" t="s">
        <v>17</v>
      </c>
      <c r="N23" s="10">
        <v>24969</v>
      </c>
      <c r="O23" s="12">
        <f>(Fact_Table[[#This Row],[Petrol_Output_BPD]]+Fact_Table[[#This Row],[Diesel_Output_BPD]]+Fact_Table[[#This Row],[Gas_Output_BPD]])/Fact_Table[[#This Row],[No_of_Employees]]</f>
        <v>539.95614035087715</v>
      </c>
      <c r="P23" s="2" t="str">
        <f>IF(Fact_Table[[#This Row],[0/P Producyivity/Day]]&gt;=1000,"High",IF(Fact_Table[[#This Row],[0/P Producyivity/Day]]&gt;=500,"Medium","Low"))</f>
        <v>Medium</v>
      </c>
      <c r="Q23" s="10">
        <f>Fact_Table[[#This Row],[Capacity_BPD]]/Fact_Table[[#This Row],[Average_Salary_AED]]</f>
        <v>12.32632464255677</v>
      </c>
      <c r="R23" s="15">
        <f>(Fact_Table[[#This Row],[Petrol_Output_BPD]]/Fact_Table[[#This Row],[Capacity_BPD]])</f>
        <v>0.34340234456227908</v>
      </c>
      <c r="S23" s="15">
        <f>Fact_Table[[#This Row],[Diesel_Output_BPD]]/Fact_Table[[#This Row],[Capacity_BPD]]</f>
        <v>0.40699404761904762</v>
      </c>
      <c r="T23" s="15">
        <f>Fact_Table[[#This Row],[Gas_Output_BPD]]/Fact_Table[[#This Row],[Capacity_BPD]]</f>
        <v>0.24960035870243294</v>
      </c>
      <c r="U23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3" s="8">
        <f ca="1">YEAR(TODAY())-Fact_Table[[#This Row],[Commissioned_Year]]</f>
        <v>13</v>
      </c>
      <c r="W23" s="41" cm="1">
        <f t="array" ref="W23">_xlfn.XLOOKUP(Fact_Table[[#This Row],[Commissioned_Year]],cost_table[[#All],[Year]],cost_table[[#All],[Average_Crude_Price_USD_per_Barrel]],"0")</f>
        <v>72.400000000000006</v>
      </c>
      <c r="X23" s="40">
        <f>Fact_Table[[#This Row],[Capacity_BPD]]*Fact_Table[[#This Row],[cost per barrel]]</f>
        <v>22282982.400000002</v>
      </c>
    </row>
    <row r="24" spans="1:24" x14ac:dyDescent="0.35">
      <c r="A24" t="s">
        <v>37</v>
      </c>
      <c r="B24" t="s">
        <v>32</v>
      </c>
      <c r="C24" t="s">
        <v>47</v>
      </c>
      <c r="D24" s="5">
        <v>525660</v>
      </c>
      <c r="E24" s="5">
        <v>2013</v>
      </c>
      <c r="F24" s="5">
        <v>1030</v>
      </c>
      <c r="G24" s="3" t="s">
        <v>28</v>
      </c>
      <c r="H24" s="4">
        <v>23.69</v>
      </c>
      <c r="I24" s="4">
        <v>8.69</v>
      </c>
      <c r="J24" s="5">
        <v>155782</v>
      </c>
      <c r="K24" s="5">
        <v>290322</v>
      </c>
      <c r="L24" s="5">
        <v>79555</v>
      </c>
      <c r="M24" s="3" t="s">
        <v>23</v>
      </c>
      <c r="N24" s="10">
        <v>15824</v>
      </c>
      <c r="O24" s="12">
        <f>(Fact_Table[[#This Row],[Petrol_Output_BPD]]+Fact_Table[[#This Row],[Diesel_Output_BPD]]+Fact_Table[[#This Row],[Gas_Output_BPD]])/Fact_Table[[#This Row],[No_of_Employees]]</f>
        <v>510.34854368932037</v>
      </c>
      <c r="P24" s="2" t="str">
        <f>IF(Fact_Table[[#This Row],[0/P Producyivity/Day]]&gt;=1000,"High",IF(Fact_Table[[#This Row],[0/P Producyivity/Day]]&gt;=500,"Medium","Low"))</f>
        <v>Medium</v>
      </c>
      <c r="Q24" s="10">
        <f>Fact_Table[[#This Row],[Capacity_BPD]]/Fact_Table[[#This Row],[Average_Salary_AED]]</f>
        <v>33.21916076845298</v>
      </c>
      <c r="R24" s="15">
        <f>(Fact_Table[[#This Row],[Petrol_Output_BPD]]/Fact_Table[[#This Row],[Capacity_BPD]])</f>
        <v>0.29635505840276988</v>
      </c>
      <c r="S24" s="15">
        <f>Fact_Table[[#This Row],[Diesel_Output_BPD]]/Fact_Table[[#This Row],[Capacity_BPD]]</f>
        <v>0.55229996575733364</v>
      </c>
      <c r="T24" s="15">
        <f>Fact_Table[[#This Row],[Gas_Output_BPD]]/Fact_Table[[#This Row],[Capacity_BPD]]</f>
        <v>0.15134307346954304</v>
      </c>
      <c r="U24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4" s="8">
        <f ca="1">YEAR(TODAY())-Fact_Table[[#This Row],[Commissioned_Year]]</f>
        <v>12</v>
      </c>
      <c r="W24" s="41" cm="1">
        <f t="array" ref="W24">_xlfn.XLOOKUP(Fact_Table[[#This Row],[Commissioned_Year]],cost_table[[#All],[Year]],cost_table[[#All],[Average_Crude_Price_USD_per_Barrel]],"0")</f>
        <v>97.3</v>
      </c>
      <c r="X24" s="40">
        <f>Fact_Table[[#This Row],[Capacity_BPD]]*Fact_Table[[#This Row],[cost per barrel]]</f>
        <v>51146718</v>
      </c>
    </row>
    <row r="25" spans="1:24" x14ac:dyDescent="0.35">
      <c r="A25" t="s">
        <v>30</v>
      </c>
      <c r="B25" t="s">
        <v>41</v>
      </c>
      <c r="C25" t="s">
        <v>33</v>
      </c>
      <c r="D25" s="5">
        <v>229764</v>
      </c>
      <c r="E25" s="5">
        <v>1982</v>
      </c>
      <c r="F25" s="5">
        <v>1701</v>
      </c>
      <c r="G25" s="3" t="s">
        <v>31</v>
      </c>
      <c r="H25" s="4">
        <v>19.22</v>
      </c>
      <c r="I25" s="4">
        <v>7.44</v>
      </c>
      <c r="J25" s="5">
        <v>92785</v>
      </c>
      <c r="K25" s="5">
        <v>100743</v>
      </c>
      <c r="L25" s="5">
        <v>36234</v>
      </c>
      <c r="M25" s="3" t="s">
        <v>23</v>
      </c>
      <c r="N25" s="10">
        <v>19583</v>
      </c>
      <c r="O25" s="12">
        <f>(Fact_Table[[#This Row],[Petrol_Output_BPD]]+Fact_Table[[#This Row],[Diesel_Output_BPD]]+Fact_Table[[#This Row],[Gas_Output_BPD]])/Fact_Table[[#This Row],[No_of_Employees]]</f>
        <v>135.07466196355085</v>
      </c>
      <c r="P25" s="2" t="str">
        <f>IF(Fact_Table[[#This Row],[0/P Producyivity/Day]]&gt;=1000,"High",IF(Fact_Table[[#This Row],[0/P Producyivity/Day]]&gt;=500,"Medium","Low"))</f>
        <v>Low</v>
      </c>
      <c r="Q25" s="10">
        <f>Fact_Table[[#This Row],[Capacity_BPD]]/Fact_Table[[#This Row],[Average_Salary_AED]]</f>
        <v>11.732829494970128</v>
      </c>
      <c r="R25" s="15">
        <f>(Fact_Table[[#This Row],[Petrol_Output_BPD]]/Fact_Table[[#This Row],[Capacity_BPD]])</f>
        <v>0.40382740551174251</v>
      </c>
      <c r="S25" s="15">
        <f>Fact_Table[[#This Row],[Diesel_Output_BPD]]/Fact_Table[[#This Row],[Capacity_BPD]]</f>
        <v>0.43846294458661933</v>
      </c>
      <c r="T25" s="15">
        <f>Fact_Table[[#This Row],[Gas_Output_BPD]]/Fact_Table[[#This Row],[Capacity_BPD]]</f>
        <v>0.15770094531780435</v>
      </c>
      <c r="U25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5" s="8">
        <f ca="1">YEAR(TODAY())-Fact_Table[[#This Row],[Commissioned_Year]]</f>
        <v>43</v>
      </c>
      <c r="W25" s="41" cm="1">
        <f t="array" ref="W25">_xlfn.XLOOKUP(Fact_Table[[#This Row],[Commissioned_Year]],cost_table[[#All],[Year]],cost_table[[#All],[Average_Crude_Price_USD_per_Barrel]],"0")</f>
        <v>32.799999999999997</v>
      </c>
      <c r="X25" s="40">
        <f>Fact_Table[[#This Row],[Capacity_BPD]]*Fact_Table[[#This Row],[cost per barrel]]</f>
        <v>7536259.1999999993</v>
      </c>
    </row>
    <row r="26" spans="1:24" x14ac:dyDescent="0.35">
      <c r="A26" t="s">
        <v>37</v>
      </c>
      <c r="B26" t="s">
        <v>40</v>
      </c>
      <c r="C26" t="s">
        <v>50</v>
      </c>
      <c r="D26" s="5">
        <v>205271</v>
      </c>
      <c r="E26" s="5">
        <v>1990</v>
      </c>
      <c r="F26" s="5">
        <v>785</v>
      </c>
      <c r="G26" s="3" t="s">
        <v>28</v>
      </c>
      <c r="H26" s="4">
        <v>17.07</v>
      </c>
      <c r="I26" s="4">
        <v>7.17</v>
      </c>
      <c r="J26" s="5">
        <v>97716</v>
      </c>
      <c r="K26" s="5">
        <v>76195</v>
      </c>
      <c r="L26" s="5">
        <v>31358</v>
      </c>
      <c r="M26" s="3" t="s">
        <v>29</v>
      </c>
      <c r="N26" s="10">
        <v>11277</v>
      </c>
      <c r="O26" s="12">
        <f>(Fact_Table[[#This Row],[Petrol_Output_BPD]]+Fact_Table[[#This Row],[Diesel_Output_BPD]]+Fact_Table[[#This Row],[Gas_Output_BPD]])/Fact_Table[[#This Row],[No_of_Employees]]</f>
        <v>261.48917197452232</v>
      </c>
      <c r="P26" s="2" t="str">
        <f>IF(Fact_Table[[#This Row],[0/P Producyivity/Day]]&gt;=1000,"High",IF(Fact_Table[[#This Row],[0/P Producyivity/Day]]&gt;=500,"Medium","Low"))</f>
        <v>Low</v>
      </c>
      <c r="Q26" s="10">
        <f>Fact_Table[[#This Row],[Capacity_BPD]]/Fact_Table[[#This Row],[Average_Salary_AED]]</f>
        <v>18.202624811563361</v>
      </c>
      <c r="R26" s="15">
        <f>(Fact_Table[[#This Row],[Petrol_Output_BPD]]/Fact_Table[[#This Row],[Capacity_BPD]])</f>
        <v>0.47603412074769452</v>
      </c>
      <c r="S26" s="15">
        <f>Fact_Table[[#This Row],[Diesel_Output_BPD]]/Fact_Table[[#This Row],[Capacity_BPD]]</f>
        <v>0.37119222880971986</v>
      </c>
      <c r="T26" s="15">
        <f>Fact_Table[[#This Row],[Gas_Output_BPD]]/Fact_Table[[#This Row],[Capacity_BPD]]</f>
        <v>0.15276390722508293</v>
      </c>
      <c r="U2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6" s="8">
        <f ca="1">YEAR(TODAY())-Fact_Table[[#This Row],[Commissioned_Year]]</f>
        <v>35</v>
      </c>
      <c r="W26" s="41" cm="1">
        <f t="array" ref="W26">_xlfn.XLOOKUP(Fact_Table[[#This Row],[Commissioned_Year]],cost_table[[#All],[Year]],cost_table[[#All],[Average_Crude_Price_USD_per_Barrel]],"0")</f>
        <v>22.3</v>
      </c>
      <c r="X26" s="40">
        <f>Fact_Table[[#This Row],[Capacity_BPD]]*Fact_Table[[#This Row],[cost per barrel]]</f>
        <v>4577543.3</v>
      </c>
    </row>
    <row r="27" spans="1:24" x14ac:dyDescent="0.35">
      <c r="A27" t="s">
        <v>45</v>
      </c>
      <c r="B27" t="s">
        <v>14</v>
      </c>
      <c r="C27" t="s">
        <v>20</v>
      </c>
      <c r="D27" s="5">
        <v>190673</v>
      </c>
      <c r="E27" s="5">
        <v>2009</v>
      </c>
      <c r="F27" s="5">
        <v>2425</v>
      </c>
      <c r="G27" s="3" t="s">
        <v>31</v>
      </c>
      <c r="H27" s="4">
        <v>18.41</v>
      </c>
      <c r="I27" s="4">
        <v>9.84</v>
      </c>
      <c r="J27" s="5">
        <v>57712</v>
      </c>
      <c r="K27" s="5">
        <v>92790</v>
      </c>
      <c r="L27" s="5">
        <v>40170</v>
      </c>
      <c r="M27" s="3" t="s">
        <v>34</v>
      </c>
      <c r="N27" s="10">
        <v>9176</v>
      </c>
      <c r="O27" s="12">
        <f>(Fact_Table[[#This Row],[Petrol_Output_BPD]]+Fact_Table[[#This Row],[Diesel_Output_BPD]]+Fact_Table[[#This Row],[Gas_Output_BPD]])/Fact_Table[[#This Row],[No_of_Employees]]</f>
        <v>78.627628865979375</v>
      </c>
      <c r="P27" s="2" t="str">
        <f>IF(Fact_Table[[#This Row],[0/P Producyivity/Day]]&gt;=1000,"High",IF(Fact_Table[[#This Row],[0/P Producyivity/Day]]&gt;=500,"Medium","Low"))</f>
        <v>Low</v>
      </c>
      <c r="Q27" s="10">
        <f>Fact_Table[[#This Row],[Capacity_BPD]]/Fact_Table[[#This Row],[Average_Salary_AED]]</f>
        <v>20.77953356582389</v>
      </c>
      <c r="R27" s="15">
        <f>(Fact_Table[[#This Row],[Petrol_Output_BPD]]/Fact_Table[[#This Row],[Capacity_BPD]])</f>
        <v>0.30267526078679202</v>
      </c>
      <c r="S27" s="15">
        <f>Fact_Table[[#This Row],[Diesel_Output_BPD]]/Fact_Table[[#This Row],[Capacity_BPD]]</f>
        <v>0.48664467439018633</v>
      </c>
      <c r="T27" s="15">
        <f>Fact_Table[[#This Row],[Gas_Output_BPD]]/Fact_Table[[#This Row],[Capacity_BPD]]</f>
        <v>0.21067482024198497</v>
      </c>
      <c r="U27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7" s="8">
        <f ca="1">YEAR(TODAY())-Fact_Table[[#This Row],[Commissioned_Year]]</f>
        <v>16</v>
      </c>
      <c r="W27" s="41" cm="1">
        <f t="array" ref="W27">_xlfn.XLOOKUP(Fact_Table[[#This Row],[Commissioned_Year]],cost_table[[#All],[Year]],cost_table[[#All],[Average_Crude_Price_USD_per_Barrel]],"0")</f>
        <v>41.4</v>
      </c>
      <c r="X27" s="40">
        <f>Fact_Table[[#This Row],[Capacity_BPD]]*Fact_Table[[#This Row],[cost per barrel]]</f>
        <v>7893862.2000000002</v>
      </c>
    </row>
    <row r="28" spans="1:24" x14ac:dyDescent="0.35">
      <c r="A28" t="s">
        <v>45</v>
      </c>
      <c r="B28" t="s">
        <v>41</v>
      </c>
      <c r="C28" t="s">
        <v>50</v>
      </c>
      <c r="D28" s="5">
        <v>87957</v>
      </c>
      <c r="E28" s="5">
        <v>1988</v>
      </c>
      <c r="F28" s="5">
        <v>1891</v>
      </c>
      <c r="G28" s="3" t="s">
        <v>16</v>
      </c>
      <c r="H28" s="4">
        <v>31.61</v>
      </c>
      <c r="I28" s="4">
        <v>8</v>
      </c>
      <c r="J28" s="5">
        <v>41479</v>
      </c>
      <c r="K28" s="5">
        <v>35510</v>
      </c>
      <c r="L28" s="5">
        <v>10966</v>
      </c>
      <c r="M28" s="3" t="s">
        <v>17</v>
      </c>
      <c r="N28" s="10">
        <v>12087</v>
      </c>
      <c r="O28" s="12">
        <f>(Fact_Table[[#This Row],[Petrol_Output_BPD]]+Fact_Table[[#This Row],[Diesel_Output_BPD]]+Fact_Table[[#This Row],[Gas_Output_BPD]])/Fact_Table[[#This Row],[No_of_Employees]]</f>
        <v>46.512427287149656</v>
      </c>
      <c r="P28" s="2" t="str">
        <f>IF(Fact_Table[[#This Row],[0/P Producyivity/Day]]&gt;=1000,"High",IF(Fact_Table[[#This Row],[0/P Producyivity/Day]]&gt;=500,"Medium","Low"))</f>
        <v>Low</v>
      </c>
      <c r="Q28" s="10">
        <f>Fact_Table[[#This Row],[Capacity_BPD]]/Fact_Table[[#This Row],[Average_Salary_AED]]</f>
        <v>7.2769918093819808</v>
      </c>
      <c r="R28" s="15">
        <f>(Fact_Table[[#This Row],[Petrol_Output_BPD]]/Fact_Table[[#This Row],[Capacity_BPD]])</f>
        <v>0.47158270518548834</v>
      </c>
      <c r="S28" s="15">
        <f>Fact_Table[[#This Row],[Diesel_Output_BPD]]/Fact_Table[[#This Row],[Capacity_BPD]]</f>
        <v>0.40371999954523236</v>
      </c>
      <c r="T28" s="15">
        <f>Fact_Table[[#This Row],[Gas_Output_BPD]]/Fact_Table[[#This Row],[Capacity_BPD]]</f>
        <v>0.12467455688575099</v>
      </c>
      <c r="U28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8" s="8">
        <f ca="1">YEAR(TODAY())-Fact_Table[[#This Row],[Commissioned_Year]]</f>
        <v>37</v>
      </c>
      <c r="W28" s="41" cm="1">
        <f t="array" ref="W28">_xlfn.XLOOKUP(Fact_Table[[#This Row],[Commissioned_Year]],cost_table[[#All],[Year]],cost_table[[#All],[Average_Crude_Price_USD_per_Barrel]],"0")</f>
        <v>14.9</v>
      </c>
      <c r="X28" s="40">
        <f>Fact_Table[[#This Row],[Capacity_BPD]]*Fact_Table[[#This Row],[cost per barrel]]</f>
        <v>1310559.3</v>
      </c>
    </row>
    <row r="29" spans="1:24" x14ac:dyDescent="0.35">
      <c r="A29" t="s">
        <v>22</v>
      </c>
      <c r="B29" t="s">
        <v>32</v>
      </c>
      <c r="C29" t="s">
        <v>50</v>
      </c>
      <c r="D29" s="5">
        <v>156030</v>
      </c>
      <c r="E29" s="5">
        <v>2004</v>
      </c>
      <c r="F29" s="5">
        <v>2118</v>
      </c>
      <c r="G29" s="3" t="s">
        <v>21</v>
      </c>
      <c r="H29" s="4">
        <v>13.79</v>
      </c>
      <c r="I29" s="4">
        <v>8.11</v>
      </c>
      <c r="J29" s="5">
        <v>70554</v>
      </c>
      <c r="K29" s="5">
        <v>65132</v>
      </c>
      <c r="L29" s="5">
        <v>20342</v>
      </c>
      <c r="M29" s="3" t="s">
        <v>38</v>
      </c>
      <c r="N29" s="10">
        <v>17768</v>
      </c>
      <c r="O29" s="12">
        <f>(Fact_Table[[#This Row],[Petrol_Output_BPD]]+Fact_Table[[#This Row],[Diesel_Output_BPD]]+Fact_Table[[#This Row],[Gas_Output_BPD]])/Fact_Table[[#This Row],[No_of_Employees]]</f>
        <v>73.667610953729934</v>
      </c>
      <c r="P29" s="2" t="str">
        <f>IF(Fact_Table[[#This Row],[0/P Producyivity/Day]]&gt;=1000,"High",IF(Fact_Table[[#This Row],[0/P Producyivity/Day]]&gt;=500,"Medium","Low"))</f>
        <v>Low</v>
      </c>
      <c r="Q29" s="10">
        <f>Fact_Table[[#This Row],[Capacity_BPD]]/Fact_Table[[#This Row],[Average_Salary_AED]]</f>
        <v>8.7815173345339943</v>
      </c>
      <c r="R29" s="15">
        <f>(Fact_Table[[#This Row],[Petrol_Output_BPD]]/Fact_Table[[#This Row],[Capacity_BPD]])</f>
        <v>0.45218227263987693</v>
      </c>
      <c r="S29" s="15">
        <f>Fact_Table[[#This Row],[Diesel_Output_BPD]]/Fact_Table[[#This Row],[Capacity_BPD]]</f>
        <v>0.41743254502339294</v>
      </c>
      <c r="T29" s="15">
        <f>Fact_Table[[#This Row],[Gas_Output_BPD]]/Fact_Table[[#This Row],[Capacity_BPD]]</f>
        <v>0.1303723642889188</v>
      </c>
      <c r="U29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9" s="8">
        <f ca="1">YEAR(TODAY())-Fact_Table[[#This Row],[Commissioned_Year]]</f>
        <v>21</v>
      </c>
      <c r="W29" s="41" cm="1">
        <f t="array" ref="W29">_xlfn.XLOOKUP(Fact_Table[[#This Row],[Commissioned_Year]],cost_table[[#All],[Year]],cost_table[[#All],[Average_Crude_Price_USD_per_Barrel]],"0")</f>
        <v>18.600000000000001</v>
      </c>
      <c r="X29" s="40">
        <f>Fact_Table[[#This Row],[Capacity_BPD]]*Fact_Table[[#This Row],[cost per barrel]]</f>
        <v>2902158</v>
      </c>
    </row>
    <row r="30" spans="1:24" x14ac:dyDescent="0.35">
      <c r="A30" t="s">
        <v>24</v>
      </c>
      <c r="B30" t="s">
        <v>19</v>
      </c>
      <c r="C30" t="s">
        <v>15</v>
      </c>
      <c r="D30" s="5">
        <v>659899</v>
      </c>
      <c r="E30" s="5">
        <v>2002</v>
      </c>
      <c r="F30" s="5">
        <v>1655</v>
      </c>
      <c r="G30" s="3" t="s">
        <v>21</v>
      </c>
      <c r="H30" s="4">
        <v>25.85</v>
      </c>
      <c r="I30" s="4">
        <v>8.19</v>
      </c>
      <c r="J30" s="5">
        <v>216283</v>
      </c>
      <c r="K30" s="5">
        <v>280828</v>
      </c>
      <c r="L30" s="5">
        <v>162787</v>
      </c>
      <c r="M30" s="3" t="s">
        <v>17</v>
      </c>
      <c r="N30" s="10">
        <v>18308</v>
      </c>
      <c r="O30" s="12">
        <f>(Fact_Table[[#This Row],[Petrol_Output_BPD]]+Fact_Table[[#This Row],[Diesel_Output_BPD]]+Fact_Table[[#This Row],[Gas_Output_BPD]])/Fact_Table[[#This Row],[No_of_Employees]]</f>
        <v>398.72990936555891</v>
      </c>
      <c r="P30" s="2" t="str">
        <f>IF(Fact_Table[[#This Row],[0/P Producyivity/Day]]&gt;=1000,"High",IF(Fact_Table[[#This Row],[0/P Producyivity/Day]]&gt;=500,"Medium","Low"))</f>
        <v>Low</v>
      </c>
      <c r="Q30" s="10">
        <f>Fact_Table[[#This Row],[Capacity_BPD]]/Fact_Table[[#This Row],[Average_Salary_AED]]</f>
        <v>36.044297574830672</v>
      </c>
      <c r="R30" s="15">
        <f>(Fact_Table[[#This Row],[Petrol_Output_BPD]]/Fact_Table[[#This Row],[Capacity_BPD]])</f>
        <v>0.32775167108906061</v>
      </c>
      <c r="S30" s="15">
        <f>Fact_Table[[#This Row],[Diesel_Output_BPD]]/Fact_Table[[#This Row],[Capacity_BPD]]</f>
        <v>0.42556209359311048</v>
      </c>
      <c r="T30" s="15">
        <f>Fact_Table[[#This Row],[Gas_Output_BPD]]/Fact_Table[[#This Row],[Capacity_BPD]]</f>
        <v>0.24668471993441421</v>
      </c>
      <c r="U30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0" s="8">
        <f ca="1">YEAR(TODAY())-Fact_Table[[#This Row],[Commissioned_Year]]</f>
        <v>23</v>
      </c>
      <c r="W30" s="41" cm="1">
        <f t="array" ref="W30">_xlfn.XLOOKUP(Fact_Table[[#This Row],[Commissioned_Year]],cost_table[[#All],[Year]],cost_table[[#All],[Average_Crude_Price_USD_per_Barrel]],"0")</f>
        <v>24.4</v>
      </c>
      <c r="X30" s="40">
        <f>Fact_Table[[#This Row],[Capacity_BPD]]*Fact_Table[[#This Row],[cost per barrel]]</f>
        <v>16101535.6</v>
      </c>
    </row>
    <row r="31" spans="1:24" x14ac:dyDescent="0.35">
      <c r="A31" t="s">
        <v>18</v>
      </c>
      <c r="B31" t="s">
        <v>32</v>
      </c>
      <c r="C31" t="s">
        <v>51</v>
      </c>
      <c r="D31" s="5">
        <v>247214</v>
      </c>
      <c r="E31" s="5">
        <v>2016</v>
      </c>
      <c r="F31" s="5">
        <v>2265</v>
      </c>
      <c r="G31" s="3" t="s">
        <v>31</v>
      </c>
      <c r="H31" s="4">
        <v>8.98</v>
      </c>
      <c r="I31" s="4">
        <v>8.5299999999999994</v>
      </c>
      <c r="J31" s="5">
        <v>98643</v>
      </c>
      <c r="K31" s="5">
        <v>117726</v>
      </c>
      <c r="L31" s="5">
        <v>30844</v>
      </c>
      <c r="M31" s="3" t="s">
        <v>29</v>
      </c>
      <c r="N31" s="10">
        <v>19682</v>
      </c>
      <c r="O31" s="12">
        <f>(Fact_Table[[#This Row],[Petrol_Output_BPD]]+Fact_Table[[#This Row],[Diesel_Output_BPD]]+Fact_Table[[#This Row],[Gas_Output_BPD]])/Fact_Table[[#This Row],[No_of_Employees]]</f>
        <v>109.1448123620309</v>
      </c>
      <c r="P31" s="2" t="str">
        <f>IF(Fact_Table[[#This Row],[0/P Producyivity/Day]]&gt;=1000,"High",IF(Fact_Table[[#This Row],[0/P Producyivity/Day]]&gt;=500,"Medium","Low"))</f>
        <v>Low</v>
      </c>
      <c r="Q31" s="10">
        <f>Fact_Table[[#This Row],[Capacity_BPD]]/Fact_Table[[#This Row],[Average_Salary_AED]]</f>
        <v>12.560410527385429</v>
      </c>
      <c r="R31" s="15">
        <f>(Fact_Table[[#This Row],[Petrol_Output_BPD]]/Fact_Table[[#This Row],[Capacity_BPD]])</f>
        <v>0.39901866399152153</v>
      </c>
      <c r="S31" s="15">
        <f>Fact_Table[[#This Row],[Diesel_Output_BPD]]/Fact_Table[[#This Row],[Capacity_BPD]]</f>
        <v>0.47621089420502077</v>
      </c>
      <c r="T31" s="15">
        <f>Fact_Table[[#This Row],[Gas_Output_BPD]]/Fact_Table[[#This Row],[Capacity_BPD]]</f>
        <v>0.12476639672510456</v>
      </c>
      <c r="U31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1" s="8">
        <f ca="1">YEAR(TODAY())-Fact_Table[[#This Row],[Commissioned_Year]]</f>
        <v>9</v>
      </c>
      <c r="W31" s="41" cm="1">
        <f t="array" ref="W31">_xlfn.XLOOKUP(Fact_Table[[#This Row],[Commissioned_Year]],cost_table[[#All],[Year]],cost_table[[#All],[Average_Crude_Price_USD_per_Barrel]],"0")</f>
        <v>54.2</v>
      </c>
      <c r="X31" s="40">
        <f>Fact_Table[[#This Row],[Capacity_BPD]]*Fact_Table[[#This Row],[cost per barrel]]</f>
        <v>13398998.800000001</v>
      </c>
    </row>
    <row r="32" spans="1:24" x14ac:dyDescent="0.35">
      <c r="A32" t="s">
        <v>27</v>
      </c>
      <c r="B32" t="s">
        <v>41</v>
      </c>
      <c r="C32" t="s">
        <v>49</v>
      </c>
      <c r="D32" s="5">
        <v>701306</v>
      </c>
      <c r="E32" s="5">
        <v>2022</v>
      </c>
      <c r="F32" s="5">
        <v>594</v>
      </c>
      <c r="G32" s="3" t="s">
        <v>21</v>
      </c>
      <c r="H32" s="4">
        <v>13.23</v>
      </c>
      <c r="I32" s="4">
        <v>7.17</v>
      </c>
      <c r="J32" s="5">
        <v>210544</v>
      </c>
      <c r="K32" s="5">
        <v>333268</v>
      </c>
      <c r="L32" s="5">
        <v>157493</v>
      </c>
      <c r="M32" s="3" t="s">
        <v>29</v>
      </c>
      <c r="N32" s="10">
        <v>18831</v>
      </c>
      <c r="O32" s="12">
        <f>(Fact_Table[[#This Row],[Petrol_Output_BPD]]+Fact_Table[[#This Row],[Diesel_Output_BPD]]+Fact_Table[[#This Row],[Gas_Output_BPD]])/Fact_Table[[#This Row],[No_of_Employees]]</f>
        <v>1180.648148148148</v>
      </c>
      <c r="P32" s="2" t="str">
        <f>IF(Fact_Table[[#This Row],[0/P Producyivity/Day]]&gt;=1000,"High",IF(Fact_Table[[#This Row],[0/P Producyivity/Day]]&gt;=500,"Medium","Low"))</f>
        <v>High</v>
      </c>
      <c r="Q32" s="10">
        <f>Fact_Table[[#This Row],[Capacity_BPD]]/Fact_Table[[#This Row],[Average_Salary_AED]]</f>
        <v>37.242100791248475</v>
      </c>
      <c r="R32" s="15">
        <f>(Fact_Table[[#This Row],[Petrol_Output_BPD]]/Fact_Table[[#This Row],[Capacity_BPD]])</f>
        <v>0.30021702366727221</v>
      </c>
      <c r="S32" s="15">
        <f>Fact_Table[[#This Row],[Diesel_Output_BPD]]/Fact_Table[[#This Row],[Capacity_BPD]]</f>
        <v>0.47521053577183142</v>
      </c>
      <c r="T32" s="15">
        <f>Fact_Table[[#This Row],[Gas_Output_BPD]]/Fact_Table[[#This Row],[Capacity_BPD]]</f>
        <v>0.2245710146498105</v>
      </c>
      <c r="U3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2" s="8">
        <f ca="1">YEAR(TODAY())-Fact_Table[[#This Row],[Commissioned_Year]]</f>
        <v>3</v>
      </c>
      <c r="W32" s="41" cm="1">
        <f t="array" ref="W32">_xlfn.XLOOKUP(Fact_Table[[#This Row],[Commissioned_Year]],cost_table[[#All],[Year]],cost_table[[#All],[Average_Crude_Price_USD_per_Barrel]],"0")</f>
        <v>71.3</v>
      </c>
      <c r="X32" s="40">
        <f>Fact_Table[[#This Row],[Capacity_BPD]]*Fact_Table[[#This Row],[cost per barrel]]</f>
        <v>50003117.799999997</v>
      </c>
    </row>
    <row r="33" spans="1:24" x14ac:dyDescent="0.35">
      <c r="A33" t="s">
        <v>22</v>
      </c>
      <c r="B33" t="s">
        <v>14</v>
      </c>
      <c r="C33" t="s">
        <v>33</v>
      </c>
      <c r="D33" s="5">
        <v>329896</v>
      </c>
      <c r="E33" s="5">
        <v>2010</v>
      </c>
      <c r="F33" s="5">
        <v>672</v>
      </c>
      <c r="G33" s="3" t="s">
        <v>16</v>
      </c>
      <c r="H33" s="4">
        <v>17.09</v>
      </c>
      <c r="I33" s="4">
        <v>9.81</v>
      </c>
      <c r="J33" s="5">
        <v>106730</v>
      </c>
      <c r="K33" s="5">
        <v>157924</v>
      </c>
      <c r="L33" s="5">
        <v>65241</v>
      </c>
      <c r="M33" s="3" t="s">
        <v>23</v>
      </c>
      <c r="N33" s="10">
        <v>19750</v>
      </c>
      <c r="O33" s="12">
        <f>(Fact_Table[[#This Row],[Petrol_Output_BPD]]+Fact_Table[[#This Row],[Diesel_Output_BPD]]+Fact_Table[[#This Row],[Gas_Output_BPD]])/Fact_Table[[#This Row],[No_of_Employees]]</f>
        <v>490.91517857142856</v>
      </c>
      <c r="P33" s="2" t="str">
        <f>IF(Fact_Table[[#This Row],[0/P Producyivity/Day]]&gt;=1000,"High",IF(Fact_Table[[#This Row],[0/P Producyivity/Day]]&gt;=500,"Medium","Low"))</f>
        <v>Low</v>
      </c>
      <c r="Q33" s="10">
        <f>Fact_Table[[#This Row],[Capacity_BPD]]/Fact_Table[[#This Row],[Average_Salary_AED]]</f>
        <v>16.703594936708861</v>
      </c>
      <c r="R33" s="15">
        <f>(Fact_Table[[#This Row],[Petrol_Output_BPD]]/Fact_Table[[#This Row],[Capacity_BPD]])</f>
        <v>0.32352620219705602</v>
      </c>
      <c r="S33" s="15">
        <f>Fact_Table[[#This Row],[Diesel_Output_BPD]]/Fact_Table[[#This Row],[Capacity_BPD]]</f>
        <v>0.47870844144821401</v>
      </c>
      <c r="T33" s="15">
        <f>Fact_Table[[#This Row],[Gas_Output_BPD]]/Fact_Table[[#This Row],[Capacity_BPD]]</f>
        <v>0.19776232509639402</v>
      </c>
      <c r="U33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3" s="8">
        <f ca="1">YEAR(TODAY())-Fact_Table[[#This Row],[Commissioned_Year]]</f>
        <v>15</v>
      </c>
      <c r="W33" s="41" cm="1">
        <f t="array" ref="W33">_xlfn.XLOOKUP(Fact_Table[[#This Row],[Commissioned_Year]],cost_table[[#All],[Year]],cost_table[[#All],[Average_Crude_Price_USD_per_Barrel]],"0")</f>
        <v>56.6</v>
      </c>
      <c r="X33" s="40">
        <f>Fact_Table[[#This Row],[Capacity_BPD]]*Fact_Table[[#This Row],[cost per barrel]]</f>
        <v>18672113.600000001</v>
      </c>
    </row>
    <row r="34" spans="1:24" x14ac:dyDescent="0.35">
      <c r="A34" t="s">
        <v>22</v>
      </c>
      <c r="B34" t="s">
        <v>19</v>
      </c>
      <c r="C34" t="s">
        <v>47</v>
      </c>
      <c r="D34" s="5">
        <v>463488</v>
      </c>
      <c r="E34" s="5">
        <v>2013</v>
      </c>
      <c r="F34" s="5">
        <v>775</v>
      </c>
      <c r="G34" s="3" t="s">
        <v>28</v>
      </c>
      <c r="H34" s="4">
        <v>20.64</v>
      </c>
      <c r="I34" s="4">
        <v>7</v>
      </c>
      <c r="J34" s="5">
        <v>171620</v>
      </c>
      <c r="K34" s="5">
        <v>211908</v>
      </c>
      <c r="L34" s="5">
        <v>79958</v>
      </c>
      <c r="M34" s="3" t="s">
        <v>29</v>
      </c>
      <c r="N34" s="10">
        <v>11839</v>
      </c>
      <c r="O34" s="12">
        <f>(Fact_Table[[#This Row],[Petrol_Output_BPD]]+Fact_Table[[#This Row],[Diesel_Output_BPD]]+Fact_Table[[#This Row],[Gas_Output_BPD]])/Fact_Table[[#This Row],[No_of_Employees]]</f>
        <v>598.04645161290318</v>
      </c>
      <c r="P34" s="2" t="str">
        <f>IF(Fact_Table[[#This Row],[0/P Producyivity/Day]]&gt;=1000,"High",IF(Fact_Table[[#This Row],[0/P Producyivity/Day]]&gt;=500,"Medium","Low"))</f>
        <v>Medium</v>
      </c>
      <c r="Q34" s="10">
        <f>Fact_Table[[#This Row],[Capacity_BPD]]/Fact_Table[[#This Row],[Average_Salary_AED]]</f>
        <v>39.149252470647859</v>
      </c>
      <c r="R34" s="15">
        <f>(Fact_Table[[#This Row],[Petrol_Output_BPD]]/Fact_Table[[#This Row],[Capacity_BPD]])</f>
        <v>0.37027927368130353</v>
      </c>
      <c r="S34" s="15">
        <f>Fact_Table[[#This Row],[Diesel_Output_BPD]]/Fact_Table[[#This Row],[Capacity_BPD]]</f>
        <v>0.45720277547638771</v>
      </c>
      <c r="T34" s="15">
        <f>Fact_Table[[#This Row],[Gas_Output_BPD]]/Fact_Table[[#This Row],[Capacity_BPD]]</f>
        <v>0.17251363573598452</v>
      </c>
      <c r="U34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4" s="8">
        <f ca="1">YEAR(TODAY())-Fact_Table[[#This Row],[Commissioned_Year]]</f>
        <v>12</v>
      </c>
      <c r="W34" s="41" cm="1">
        <f t="array" ref="W34">_xlfn.XLOOKUP(Fact_Table[[#This Row],[Commissioned_Year]],cost_table[[#All],[Year]],cost_table[[#All],[Average_Crude_Price_USD_per_Barrel]],"0")</f>
        <v>97.3</v>
      </c>
      <c r="X34" s="40">
        <f>Fact_Table[[#This Row],[Capacity_BPD]]*Fact_Table[[#This Row],[cost per barrel]]</f>
        <v>45097382.399999999</v>
      </c>
    </row>
    <row r="35" spans="1:24" x14ac:dyDescent="0.35">
      <c r="A35" t="s">
        <v>36</v>
      </c>
      <c r="B35" t="s">
        <v>14</v>
      </c>
      <c r="C35" t="s">
        <v>39</v>
      </c>
      <c r="D35" s="5">
        <v>346549</v>
      </c>
      <c r="E35" s="5">
        <v>1987</v>
      </c>
      <c r="F35" s="5">
        <v>1957</v>
      </c>
      <c r="G35" s="3" t="s">
        <v>28</v>
      </c>
      <c r="H35" s="4">
        <v>11.08</v>
      </c>
      <c r="I35" s="4">
        <v>7.92</v>
      </c>
      <c r="J35" s="5">
        <v>110872</v>
      </c>
      <c r="K35" s="5">
        <v>151631</v>
      </c>
      <c r="L35" s="5">
        <v>84045</v>
      </c>
      <c r="M35" s="3" t="s">
        <v>38</v>
      </c>
      <c r="N35" s="10">
        <v>15231</v>
      </c>
      <c r="O35" s="12">
        <f>(Fact_Table[[#This Row],[Petrol_Output_BPD]]+Fact_Table[[#This Row],[Diesel_Output_BPD]]+Fact_Table[[#This Row],[Gas_Output_BPD]])/Fact_Table[[#This Row],[No_of_Employees]]</f>
        <v>177.08124680633622</v>
      </c>
      <c r="P35" s="2" t="str">
        <f>IF(Fact_Table[[#This Row],[0/P Producyivity/Day]]&gt;=1000,"High",IF(Fact_Table[[#This Row],[0/P Producyivity/Day]]&gt;=500,"Medium","Low"))</f>
        <v>Low</v>
      </c>
      <c r="Q35" s="10">
        <f>Fact_Table[[#This Row],[Capacity_BPD]]/Fact_Table[[#This Row],[Average_Salary_AED]]</f>
        <v>22.752872431225789</v>
      </c>
      <c r="R35" s="15">
        <f>(Fact_Table[[#This Row],[Petrol_Output_BPD]]/Fact_Table[[#This Row],[Capacity_BPD]])</f>
        <v>0.31993166911461296</v>
      </c>
      <c r="S35" s="15">
        <f>Fact_Table[[#This Row],[Diesel_Output_BPD]]/Fact_Table[[#This Row],[Capacity_BPD]]</f>
        <v>0.43754562846812428</v>
      </c>
      <c r="T35" s="15">
        <f>Fact_Table[[#This Row],[Gas_Output_BPD]]/Fact_Table[[#This Row],[Capacity_BPD]]</f>
        <v>0.2425198168224407</v>
      </c>
      <c r="U35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5" s="8">
        <f ca="1">YEAR(TODAY())-Fact_Table[[#This Row],[Commissioned_Year]]</f>
        <v>38</v>
      </c>
      <c r="W35" s="41" cm="1">
        <f t="array" ref="W35">_xlfn.XLOOKUP(Fact_Table[[#This Row],[Commissioned_Year]],cost_table[[#All],[Year]],cost_table[[#All],[Average_Crude_Price_USD_per_Barrel]],"0")</f>
        <v>18.399999999999999</v>
      </c>
      <c r="X35" s="40">
        <f>Fact_Table[[#This Row],[Capacity_BPD]]*Fact_Table[[#This Row],[cost per barrel]]</f>
        <v>6376501.5999999996</v>
      </c>
    </row>
    <row r="36" spans="1:24" x14ac:dyDescent="0.35">
      <c r="A36" t="s">
        <v>35</v>
      </c>
      <c r="B36" t="s">
        <v>41</v>
      </c>
      <c r="C36" t="s">
        <v>48</v>
      </c>
      <c r="D36" s="5">
        <v>107865</v>
      </c>
      <c r="E36" s="5">
        <v>1982</v>
      </c>
      <c r="F36" s="5">
        <v>1626</v>
      </c>
      <c r="G36" s="3" t="s">
        <v>21</v>
      </c>
      <c r="H36" s="4">
        <v>25.78</v>
      </c>
      <c r="I36" s="4">
        <v>5.04</v>
      </c>
      <c r="J36" s="5">
        <v>44071</v>
      </c>
      <c r="K36" s="5">
        <v>47959</v>
      </c>
      <c r="L36" s="5">
        <v>15833</v>
      </c>
      <c r="M36" s="3" t="s">
        <v>38</v>
      </c>
      <c r="N36" s="10">
        <v>9997</v>
      </c>
      <c r="O36" s="12">
        <f>(Fact_Table[[#This Row],[Petrol_Output_BPD]]+Fact_Table[[#This Row],[Diesel_Output_BPD]]+Fact_Table[[#This Row],[Gas_Output_BPD]])/Fact_Table[[#This Row],[No_of_Employees]]</f>
        <v>66.336408364083638</v>
      </c>
      <c r="P36" s="2" t="str">
        <f>IF(Fact_Table[[#This Row],[0/P Producyivity/Day]]&gt;=1000,"High",IF(Fact_Table[[#This Row],[0/P Producyivity/Day]]&gt;=500,"Medium","Low"))</f>
        <v>Low</v>
      </c>
      <c r="Q36" s="10">
        <f>Fact_Table[[#This Row],[Capacity_BPD]]/Fact_Table[[#This Row],[Average_Salary_AED]]</f>
        <v>10.789736921076322</v>
      </c>
      <c r="R36" s="15">
        <f>(Fact_Table[[#This Row],[Petrol_Output_BPD]]/Fact_Table[[#This Row],[Capacity_BPD]])</f>
        <v>0.40857553423260556</v>
      </c>
      <c r="S36" s="15">
        <f>Fact_Table[[#This Row],[Diesel_Output_BPD]]/Fact_Table[[#This Row],[Capacity_BPD]]</f>
        <v>0.44462059055300607</v>
      </c>
      <c r="T36" s="15">
        <f>Fact_Table[[#This Row],[Gas_Output_BPD]]/Fact_Table[[#This Row],[Capacity_BPD]]</f>
        <v>0.14678533351875028</v>
      </c>
      <c r="U3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6" s="8">
        <f ca="1">YEAR(TODAY())-Fact_Table[[#This Row],[Commissioned_Year]]</f>
        <v>43</v>
      </c>
      <c r="W36" s="41" cm="1">
        <f t="array" ref="W36">_xlfn.XLOOKUP(Fact_Table[[#This Row],[Commissioned_Year]],cost_table[[#All],[Year]],cost_table[[#All],[Average_Crude_Price_USD_per_Barrel]],"0")</f>
        <v>32.799999999999997</v>
      </c>
      <c r="X36" s="40">
        <f>Fact_Table[[#This Row],[Capacity_BPD]]*Fact_Table[[#This Row],[cost per barrel]]</f>
        <v>3537971.9999999995</v>
      </c>
    </row>
    <row r="37" spans="1:24" x14ac:dyDescent="0.35">
      <c r="A37" t="s">
        <v>37</v>
      </c>
      <c r="B37" t="s">
        <v>14</v>
      </c>
      <c r="C37" t="s">
        <v>33</v>
      </c>
      <c r="D37" s="5">
        <v>675222</v>
      </c>
      <c r="E37" s="5">
        <v>2009</v>
      </c>
      <c r="F37" s="5">
        <v>2478</v>
      </c>
      <c r="G37" s="3" t="s">
        <v>21</v>
      </c>
      <c r="H37" s="4">
        <v>24.43</v>
      </c>
      <c r="I37" s="4">
        <v>7.85</v>
      </c>
      <c r="J37" s="5">
        <v>222402</v>
      </c>
      <c r="K37" s="5">
        <v>291319</v>
      </c>
      <c r="L37" s="5">
        <v>161499</v>
      </c>
      <c r="M37" s="3" t="s">
        <v>38</v>
      </c>
      <c r="N37" s="10">
        <v>14834</v>
      </c>
      <c r="O37" s="12">
        <f>(Fact_Table[[#This Row],[Petrol_Output_BPD]]+Fact_Table[[#This Row],[Diesel_Output_BPD]]+Fact_Table[[#This Row],[Gas_Output_BPD]])/Fact_Table[[#This Row],[No_of_Employees]]</f>
        <v>272.4858757062147</v>
      </c>
      <c r="P37" s="2" t="str">
        <f>IF(Fact_Table[[#This Row],[0/P Producyivity/Day]]&gt;=1000,"High",IF(Fact_Table[[#This Row],[0/P Producyivity/Day]]&gt;=500,"Medium","Low"))</f>
        <v>Low</v>
      </c>
      <c r="Q37" s="10">
        <f>Fact_Table[[#This Row],[Capacity_BPD]]/Fact_Table[[#This Row],[Average_Salary_AED]]</f>
        <v>45.518538492652013</v>
      </c>
      <c r="R37" s="15">
        <f>(Fact_Table[[#This Row],[Petrol_Output_BPD]]/Fact_Table[[#This Row],[Capacity_BPD]])</f>
        <v>0.32937611629952818</v>
      </c>
      <c r="S37" s="15">
        <f>Fact_Table[[#This Row],[Diesel_Output_BPD]]/Fact_Table[[#This Row],[Capacity_BPD]]</f>
        <v>0.43144180728708487</v>
      </c>
      <c r="T37" s="15">
        <f>Fact_Table[[#This Row],[Gas_Output_BPD]]/Fact_Table[[#This Row],[Capacity_BPD]]</f>
        <v>0.23917911442458925</v>
      </c>
      <c r="U37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7" s="8">
        <f ca="1">YEAR(TODAY())-Fact_Table[[#This Row],[Commissioned_Year]]</f>
        <v>16</v>
      </c>
      <c r="W37" s="41" cm="1">
        <f t="array" ref="W37">_xlfn.XLOOKUP(Fact_Table[[#This Row],[Commissioned_Year]],cost_table[[#All],[Year]],cost_table[[#All],[Average_Crude_Price_USD_per_Barrel]],"0")</f>
        <v>41.4</v>
      </c>
      <c r="X37" s="40">
        <f>Fact_Table[[#This Row],[Capacity_BPD]]*Fact_Table[[#This Row],[cost per barrel]]</f>
        <v>27954190.800000001</v>
      </c>
    </row>
    <row r="38" spans="1:24" x14ac:dyDescent="0.35">
      <c r="A38" t="s">
        <v>27</v>
      </c>
      <c r="B38" t="s">
        <v>26</v>
      </c>
      <c r="C38" t="s">
        <v>47</v>
      </c>
      <c r="D38" s="5">
        <v>169176</v>
      </c>
      <c r="E38" s="5">
        <v>1986</v>
      </c>
      <c r="F38" s="5">
        <v>533</v>
      </c>
      <c r="G38" s="3" t="s">
        <v>31</v>
      </c>
      <c r="H38" s="4">
        <v>34.68</v>
      </c>
      <c r="I38" s="4">
        <v>7.92</v>
      </c>
      <c r="J38" s="5">
        <v>65909</v>
      </c>
      <c r="K38" s="5">
        <v>78309</v>
      </c>
      <c r="L38" s="5">
        <v>24956</v>
      </c>
      <c r="M38" s="3" t="s">
        <v>38</v>
      </c>
      <c r="N38" s="10">
        <v>9526</v>
      </c>
      <c r="O38" s="12">
        <f>(Fact_Table[[#This Row],[Petrol_Output_BPD]]+Fact_Table[[#This Row],[Diesel_Output_BPD]]+Fact_Table[[#This Row],[Gas_Output_BPD]])/Fact_Table[[#This Row],[No_of_Employees]]</f>
        <v>317.39962476547845</v>
      </c>
      <c r="P38" s="2" t="str">
        <f>IF(Fact_Table[[#This Row],[0/P Producyivity/Day]]&gt;=1000,"High",IF(Fact_Table[[#This Row],[0/P Producyivity/Day]]&gt;=500,"Medium","Low"))</f>
        <v>Low</v>
      </c>
      <c r="Q38" s="10">
        <f>Fact_Table[[#This Row],[Capacity_BPD]]/Fact_Table[[#This Row],[Average_Salary_AED]]</f>
        <v>17.759395339072015</v>
      </c>
      <c r="R38" s="15">
        <f>(Fact_Table[[#This Row],[Petrol_Output_BPD]]/Fact_Table[[#This Row],[Capacity_BPD]])</f>
        <v>0.3895883576866695</v>
      </c>
      <c r="S38" s="15">
        <f>Fact_Table[[#This Row],[Diesel_Output_BPD]]/Fact_Table[[#This Row],[Capacity_BPD]]</f>
        <v>0.46288480635551144</v>
      </c>
      <c r="T38" s="15">
        <f>Fact_Table[[#This Row],[Gas_Output_BPD]]/Fact_Table[[#This Row],[Capacity_BPD]]</f>
        <v>0.14751501394996927</v>
      </c>
      <c r="U3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8" s="8">
        <f ca="1">YEAR(TODAY())-Fact_Table[[#This Row],[Commissioned_Year]]</f>
        <v>39</v>
      </c>
      <c r="W38" s="41" cm="1">
        <f t="array" ref="W38">_xlfn.XLOOKUP(Fact_Table[[#This Row],[Commissioned_Year]],cost_table[[#All],[Year]],cost_table[[#All],[Average_Crude_Price_USD_per_Barrel]],"0")</f>
        <v>14.4</v>
      </c>
      <c r="X38" s="40">
        <f>Fact_Table[[#This Row],[Capacity_BPD]]*Fact_Table[[#This Row],[cost per barrel]]</f>
        <v>2436134.4</v>
      </c>
    </row>
    <row r="39" spans="1:24" x14ac:dyDescent="0.35">
      <c r="A39" t="s">
        <v>27</v>
      </c>
      <c r="B39" t="s">
        <v>14</v>
      </c>
      <c r="C39" t="s">
        <v>50</v>
      </c>
      <c r="D39" s="5">
        <v>244461</v>
      </c>
      <c r="E39" s="5">
        <v>2004</v>
      </c>
      <c r="F39" s="5">
        <v>2224</v>
      </c>
      <c r="G39" s="3" t="s">
        <v>31</v>
      </c>
      <c r="H39" s="4">
        <v>2.38</v>
      </c>
      <c r="I39" s="4">
        <v>7.09</v>
      </c>
      <c r="J39" s="5">
        <v>102774</v>
      </c>
      <c r="K39" s="5">
        <v>105908</v>
      </c>
      <c r="L39" s="5">
        <v>35777</v>
      </c>
      <c r="M39" s="3" t="s">
        <v>38</v>
      </c>
      <c r="N39" s="10">
        <v>11052</v>
      </c>
      <c r="O39" s="12">
        <f>(Fact_Table[[#This Row],[Petrol_Output_BPD]]+Fact_Table[[#This Row],[Diesel_Output_BPD]]+Fact_Table[[#This Row],[Gas_Output_BPD]])/Fact_Table[[#This Row],[No_of_Employees]]</f>
        <v>109.91861510791367</v>
      </c>
      <c r="P39" s="2" t="str">
        <f>IF(Fact_Table[[#This Row],[0/P Producyivity/Day]]&gt;=1000,"High",IF(Fact_Table[[#This Row],[0/P Producyivity/Day]]&gt;=500,"Medium","Low"))</f>
        <v>Low</v>
      </c>
      <c r="Q39" s="10">
        <f>Fact_Table[[#This Row],[Capacity_BPD]]/Fact_Table[[#This Row],[Average_Salary_AED]]</f>
        <v>22.11916395222584</v>
      </c>
      <c r="R39" s="15">
        <f>(Fact_Table[[#This Row],[Petrol_Output_BPD]]/Fact_Table[[#This Row],[Capacity_BPD]])</f>
        <v>0.42041061764453225</v>
      </c>
      <c r="S39" s="15">
        <f>Fact_Table[[#This Row],[Diesel_Output_BPD]]/Fact_Table[[#This Row],[Capacity_BPD]]</f>
        <v>0.43323065846904008</v>
      </c>
      <c r="T39" s="15">
        <f>Fact_Table[[#This Row],[Gas_Output_BPD]]/Fact_Table[[#This Row],[Capacity_BPD]]</f>
        <v>0.14635054262234057</v>
      </c>
      <c r="U39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9" s="8">
        <f ca="1">YEAR(TODAY())-Fact_Table[[#This Row],[Commissioned_Year]]</f>
        <v>21</v>
      </c>
      <c r="W39" s="41" cm="1">
        <f t="array" ref="W39">_xlfn.XLOOKUP(Fact_Table[[#This Row],[Commissioned_Year]],cost_table[[#All],[Year]],cost_table[[#All],[Average_Crude_Price_USD_per_Barrel]],"0")</f>
        <v>18.600000000000001</v>
      </c>
      <c r="X39" s="40">
        <f>Fact_Table[[#This Row],[Capacity_BPD]]*Fact_Table[[#This Row],[cost per barrel]]</f>
        <v>4546974.6000000006</v>
      </c>
    </row>
    <row r="40" spans="1:24" x14ac:dyDescent="0.35">
      <c r="A40" t="s">
        <v>36</v>
      </c>
      <c r="B40" t="s">
        <v>41</v>
      </c>
      <c r="C40" t="s">
        <v>15</v>
      </c>
      <c r="D40" s="5">
        <v>384567</v>
      </c>
      <c r="E40" s="5">
        <v>2006</v>
      </c>
      <c r="F40" s="5">
        <v>2206</v>
      </c>
      <c r="G40" s="3" t="s">
        <v>31</v>
      </c>
      <c r="H40" s="4">
        <v>22.8</v>
      </c>
      <c r="I40" s="4">
        <v>8</v>
      </c>
      <c r="J40" s="5">
        <v>105605</v>
      </c>
      <c r="K40" s="5">
        <v>197277</v>
      </c>
      <c r="L40" s="5">
        <v>81684</v>
      </c>
      <c r="M40" s="3" t="s">
        <v>38</v>
      </c>
      <c r="N40" s="10">
        <v>16890</v>
      </c>
      <c r="O40" s="12">
        <f>(Fact_Table[[#This Row],[Petrol_Output_BPD]]+Fact_Table[[#This Row],[Diesel_Output_BPD]]+Fact_Table[[#This Row],[Gas_Output_BPD]])/Fact_Table[[#This Row],[No_of_Employees]]</f>
        <v>174.32728921124206</v>
      </c>
      <c r="P40" s="2" t="str">
        <f>IF(Fact_Table[[#This Row],[0/P Producyivity/Day]]&gt;=1000,"High",IF(Fact_Table[[#This Row],[0/P Producyivity/Day]]&gt;=500,"Medium","Low"))</f>
        <v>Low</v>
      </c>
      <c r="Q40" s="10">
        <f>Fact_Table[[#This Row],[Capacity_BPD]]/Fact_Table[[#This Row],[Average_Salary_AED]]</f>
        <v>22.768916518650087</v>
      </c>
      <c r="R40" s="15">
        <f>(Fact_Table[[#This Row],[Petrol_Output_BPD]]/Fact_Table[[#This Row],[Capacity_BPD]])</f>
        <v>0.27460754562924017</v>
      </c>
      <c r="S40" s="15">
        <f>Fact_Table[[#This Row],[Diesel_Output_BPD]]/Fact_Table[[#This Row],[Capacity_BPD]]</f>
        <v>0.51298473347947171</v>
      </c>
      <c r="T40" s="15">
        <f>Fact_Table[[#This Row],[Gas_Output_BPD]]/Fact_Table[[#This Row],[Capacity_BPD]]</f>
        <v>0.21240512056416697</v>
      </c>
      <c r="U40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0" s="8">
        <f ca="1">YEAR(TODAY())-Fact_Table[[#This Row],[Commissioned_Year]]</f>
        <v>19</v>
      </c>
      <c r="W40" s="41" cm="1">
        <f t="array" ref="W40">_xlfn.XLOOKUP(Fact_Table[[#This Row],[Commissioned_Year]],cost_table[[#All],[Year]],cost_table[[#All],[Average_Crude_Price_USD_per_Barrel]],"0")</f>
        <v>28.8</v>
      </c>
      <c r="X40" s="40">
        <f>Fact_Table[[#This Row],[Capacity_BPD]]*Fact_Table[[#This Row],[cost per barrel]]</f>
        <v>11075529.6</v>
      </c>
    </row>
    <row r="41" spans="1:24" x14ac:dyDescent="0.35">
      <c r="A41" t="s">
        <v>18</v>
      </c>
      <c r="B41" t="s">
        <v>25</v>
      </c>
      <c r="C41" t="s">
        <v>46</v>
      </c>
      <c r="D41" s="5">
        <v>255359</v>
      </c>
      <c r="E41" s="5">
        <v>1996</v>
      </c>
      <c r="F41" s="5">
        <v>2069</v>
      </c>
      <c r="G41" s="3" t="s">
        <v>21</v>
      </c>
      <c r="H41" s="4">
        <v>34.71</v>
      </c>
      <c r="I41" s="4">
        <v>9.5399999999999991</v>
      </c>
      <c r="J41" s="5">
        <v>91726</v>
      </c>
      <c r="K41" s="5">
        <v>101709</v>
      </c>
      <c r="L41" s="5">
        <v>61923</v>
      </c>
      <c r="M41" s="3" t="s">
        <v>17</v>
      </c>
      <c r="N41" s="10">
        <v>16299</v>
      </c>
      <c r="O41" s="12">
        <f>(Fact_Table[[#This Row],[Petrol_Output_BPD]]+Fact_Table[[#This Row],[Diesel_Output_BPD]]+Fact_Table[[#This Row],[Gas_Output_BPD]])/Fact_Table[[#This Row],[No_of_Employees]]</f>
        <v>123.42097631706139</v>
      </c>
      <c r="P41" s="2" t="str">
        <f>IF(Fact_Table[[#This Row],[0/P Producyivity/Day]]&gt;=1000,"High",IF(Fact_Table[[#This Row],[0/P Producyivity/Day]]&gt;=500,"Medium","Low"))</f>
        <v>Low</v>
      </c>
      <c r="Q41" s="10">
        <f>Fact_Table[[#This Row],[Capacity_BPD]]/Fact_Table[[#This Row],[Average_Salary_AED]]</f>
        <v>15.667157494324805</v>
      </c>
      <c r="R41" s="15">
        <f>(Fact_Table[[#This Row],[Petrol_Output_BPD]]/Fact_Table[[#This Row],[Capacity_BPD]])</f>
        <v>0.35920410089325222</v>
      </c>
      <c r="S41" s="15">
        <f>Fact_Table[[#This Row],[Diesel_Output_BPD]]/Fact_Table[[#This Row],[Capacity_BPD]]</f>
        <v>0.39829808230765312</v>
      </c>
      <c r="T41" s="15">
        <f>Fact_Table[[#This Row],[Gas_Output_BPD]]/Fact_Table[[#This Row],[Capacity_BPD]]</f>
        <v>0.24249390074365892</v>
      </c>
      <c r="U41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1" s="8">
        <f ca="1">YEAR(TODAY())-Fact_Table[[#This Row],[Commissioned_Year]]</f>
        <v>29</v>
      </c>
      <c r="W41" s="41" cm="1">
        <f t="array" ref="W41">_xlfn.XLOOKUP(Fact_Table[[#This Row],[Commissioned_Year]],cost_table[[#All],[Year]],cost_table[[#All],[Average_Crude_Price_USD_per_Barrel]],"0")</f>
        <v>18</v>
      </c>
      <c r="X41" s="40">
        <f>Fact_Table[[#This Row],[Capacity_BPD]]*Fact_Table[[#This Row],[cost per barrel]]</f>
        <v>4596462</v>
      </c>
    </row>
    <row r="42" spans="1:24" x14ac:dyDescent="0.35">
      <c r="A42" t="s">
        <v>30</v>
      </c>
      <c r="B42" t="s">
        <v>14</v>
      </c>
      <c r="C42" t="s">
        <v>46</v>
      </c>
      <c r="D42" s="5">
        <v>310667</v>
      </c>
      <c r="E42" s="5">
        <v>1998</v>
      </c>
      <c r="F42" s="5">
        <v>466</v>
      </c>
      <c r="G42" s="3" t="s">
        <v>31</v>
      </c>
      <c r="H42" s="4">
        <v>27.57</v>
      </c>
      <c r="I42" s="4">
        <v>8.7100000000000009</v>
      </c>
      <c r="J42" s="5">
        <v>108386</v>
      </c>
      <c r="K42" s="5">
        <v>136199</v>
      </c>
      <c r="L42" s="5">
        <v>66081</v>
      </c>
      <c r="M42" s="3" t="s">
        <v>23</v>
      </c>
      <c r="N42" s="10">
        <v>10210</v>
      </c>
      <c r="O42" s="12">
        <f>(Fact_Table[[#This Row],[Petrol_Output_BPD]]+Fact_Table[[#This Row],[Diesel_Output_BPD]]+Fact_Table[[#This Row],[Gas_Output_BPD]])/Fact_Table[[#This Row],[No_of_Employees]]</f>
        <v>666.66523605150212</v>
      </c>
      <c r="P42" s="2" t="str">
        <f>IF(Fact_Table[[#This Row],[0/P Producyivity/Day]]&gt;=1000,"High",IF(Fact_Table[[#This Row],[0/P Producyivity/Day]]&gt;=500,"Medium","Low"))</f>
        <v>Medium</v>
      </c>
      <c r="Q42" s="10">
        <f>Fact_Table[[#This Row],[Capacity_BPD]]/Fact_Table[[#This Row],[Average_Salary_AED]]</f>
        <v>30.427717923604309</v>
      </c>
      <c r="R42" s="15">
        <f>(Fact_Table[[#This Row],[Petrol_Output_BPD]]/Fact_Table[[#This Row],[Capacity_BPD]])</f>
        <v>0.34888159991244644</v>
      </c>
      <c r="S42" s="15">
        <f>Fact_Table[[#This Row],[Diesel_Output_BPD]]/Fact_Table[[#This Row],[Capacity_BPD]]</f>
        <v>0.43840832788806022</v>
      </c>
      <c r="T42" s="15">
        <f>Fact_Table[[#This Row],[Gas_Output_BPD]]/Fact_Table[[#This Row],[Capacity_BPD]]</f>
        <v>0.21270685331882691</v>
      </c>
      <c r="U42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2" s="8">
        <f ca="1">YEAR(TODAY())-Fact_Table[[#This Row],[Commissioned_Year]]</f>
        <v>27</v>
      </c>
      <c r="W42" s="40" cm="1">
        <f t="array" ref="W42">_xlfn.XLOOKUP(Fact_Table[[#This Row],[Commissioned_Year]],cost_table[[#All],[Year]],cost_table[[#All],[Average_Crude_Price_USD_per_Barrel]],"0")</f>
        <v>12.8</v>
      </c>
      <c r="X42" s="40">
        <f>Fact_Table[[#This Row],[Capacity_BPD]]*Fact_Table[[#This Row],[cost per barrel]]</f>
        <v>3976537.6</v>
      </c>
    </row>
    <row r="43" spans="1:24" x14ac:dyDescent="0.35">
      <c r="A43" t="s">
        <v>35</v>
      </c>
      <c r="B43" t="s">
        <v>41</v>
      </c>
      <c r="C43" t="s">
        <v>20</v>
      </c>
      <c r="D43" s="5">
        <v>331582</v>
      </c>
      <c r="E43" s="5">
        <v>2005</v>
      </c>
      <c r="F43" s="5">
        <v>2248</v>
      </c>
      <c r="G43" s="3" t="s">
        <v>28</v>
      </c>
      <c r="H43" s="4">
        <v>11.86</v>
      </c>
      <c r="I43" s="4">
        <v>7.39</v>
      </c>
      <c r="J43" s="5">
        <v>133775</v>
      </c>
      <c r="K43" s="5">
        <v>137225</v>
      </c>
      <c r="L43" s="5">
        <v>60581</v>
      </c>
      <c r="M43" s="3" t="s">
        <v>29</v>
      </c>
      <c r="N43" s="10">
        <v>20429</v>
      </c>
      <c r="O43" s="12">
        <f>(Fact_Table[[#This Row],[Petrol_Output_BPD]]+Fact_Table[[#This Row],[Diesel_Output_BPD]]+Fact_Table[[#This Row],[Gas_Output_BPD]])/Fact_Table[[#This Row],[No_of_Employees]]</f>
        <v>147.50044483985766</v>
      </c>
      <c r="P43" s="2" t="str">
        <f>IF(Fact_Table[[#This Row],[0/P Producyivity/Day]]&gt;=1000,"High",IF(Fact_Table[[#This Row],[0/P Producyivity/Day]]&gt;=500,"Medium","Low"))</f>
        <v>Low</v>
      </c>
      <c r="Q43" s="10">
        <f>Fact_Table[[#This Row],[Capacity_BPD]]/Fact_Table[[#This Row],[Average_Salary_AED]]</f>
        <v>16.230946203925793</v>
      </c>
      <c r="R43" s="15">
        <f>(Fact_Table[[#This Row],[Petrol_Output_BPD]]/Fact_Table[[#This Row],[Capacity_BPD]])</f>
        <v>0.40344469844563335</v>
      </c>
      <c r="S43" s="15">
        <f>Fact_Table[[#This Row],[Diesel_Output_BPD]]/Fact_Table[[#This Row],[Capacity_BPD]]</f>
        <v>0.41384936456140564</v>
      </c>
      <c r="T43" s="15">
        <f>Fact_Table[[#This Row],[Gas_Output_BPD]]/Fact_Table[[#This Row],[Capacity_BPD]]</f>
        <v>0.18270292114771006</v>
      </c>
      <c r="U43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3" s="8">
        <f ca="1">YEAR(TODAY())-Fact_Table[[#This Row],[Commissioned_Year]]</f>
        <v>20</v>
      </c>
      <c r="W43" s="40" cm="1">
        <f t="array" ref="W43">_xlfn.XLOOKUP(Fact_Table[[#This Row],[Commissioned_Year]],cost_table[[#All],[Year]],cost_table[[#All],[Average_Crude_Price_USD_per_Barrel]],"0")</f>
        <v>25</v>
      </c>
      <c r="X43" s="40">
        <f>Fact_Table[[#This Row],[Capacity_BPD]]*Fact_Table[[#This Row],[cost per barrel]]</f>
        <v>8289550</v>
      </c>
    </row>
    <row r="44" spans="1:24" x14ac:dyDescent="0.35">
      <c r="A44" t="s">
        <v>45</v>
      </c>
      <c r="B44" t="s">
        <v>25</v>
      </c>
      <c r="C44" t="s">
        <v>51</v>
      </c>
      <c r="D44" s="5">
        <v>668796</v>
      </c>
      <c r="E44" s="5">
        <v>2005</v>
      </c>
      <c r="F44" s="5">
        <v>1704</v>
      </c>
      <c r="G44" s="3" t="s">
        <v>31</v>
      </c>
      <c r="H44" s="4">
        <v>14.69</v>
      </c>
      <c r="I44" s="4">
        <v>9.16</v>
      </c>
      <c r="J44" s="5">
        <v>315789</v>
      </c>
      <c r="K44" s="5">
        <v>273002</v>
      </c>
      <c r="L44" s="5">
        <v>80004</v>
      </c>
      <c r="M44" s="3" t="s">
        <v>17</v>
      </c>
      <c r="N44" s="10">
        <v>19582</v>
      </c>
      <c r="O44" s="12">
        <f>(Fact_Table[[#This Row],[Petrol_Output_BPD]]+Fact_Table[[#This Row],[Diesel_Output_BPD]]+Fact_Table[[#This Row],[Gas_Output_BPD]])/Fact_Table[[#This Row],[No_of_Employees]]</f>
        <v>392.48532863849766</v>
      </c>
      <c r="P44" s="2" t="str">
        <f>IF(Fact_Table[[#This Row],[0/P Producyivity/Day]]&gt;=1000,"High",IF(Fact_Table[[#This Row],[0/P Producyivity/Day]]&gt;=500,"Medium","Low"))</f>
        <v>Low</v>
      </c>
      <c r="Q44" s="10">
        <f>Fact_Table[[#This Row],[Capacity_BPD]]/Fact_Table[[#This Row],[Average_Salary_AED]]</f>
        <v>34.153610458584417</v>
      </c>
      <c r="R44" s="15">
        <f>(Fact_Table[[#This Row],[Petrol_Output_BPD]]/Fact_Table[[#This Row],[Capacity_BPD]])</f>
        <v>0.47217537186227193</v>
      </c>
      <c r="S44" s="15">
        <f>Fact_Table[[#This Row],[Diesel_Output_BPD]]/Fact_Table[[#This Row],[Capacity_BPD]]</f>
        <v>0.40819921171777346</v>
      </c>
      <c r="T44" s="15">
        <f>Fact_Table[[#This Row],[Gas_Output_BPD]]/Fact_Table[[#This Row],[Capacity_BPD]]</f>
        <v>0.11962392119570094</v>
      </c>
      <c r="U44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4" s="8">
        <f ca="1">YEAR(TODAY())-Fact_Table[[#This Row],[Commissioned_Year]]</f>
        <v>20</v>
      </c>
      <c r="W44" s="40" cm="1">
        <f t="array" ref="W44">_xlfn.XLOOKUP(Fact_Table[[#This Row],[Commissioned_Year]],cost_table[[#All],[Year]],cost_table[[#All],[Average_Crude_Price_USD_per_Barrel]],"0")</f>
        <v>25</v>
      </c>
      <c r="X44" s="40">
        <f>Fact_Table[[#This Row],[Capacity_BPD]]*Fact_Table[[#This Row],[cost per barrel]]</f>
        <v>16719900</v>
      </c>
    </row>
    <row r="45" spans="1:24" x14ac:dyDescent="0.35">
      <c r="A45" t="s">
        <v>45</v>
      </c>
      <c r="B45" t="s">
        <v>41</v>
      </c>
      <c r="C45" t="s">
        <v>33</v>
      </c>
      <c r="D45" s="5">
        <v>259470</v>
      </c>
      <c r="E45" s="5">
        <v>2004</v>
      </c>
      <c r="F45" s="5">
        <v>1366</v>
      </c>
      <c r="G45" s="3" t="s">
        <v>31</v>
      </c>
      <c r="H45" s="4">
        <v>30.81</v>
      </c>
      <c r="I45" s="4">
        <v>7.19</v>
      </c>
      <c r="J45" s="5">
        <v>82853</v>
      </c>
      <c r="K45" s="5">
        <v>117716</v>
      </c>
      <c r="L45" s="5">
        <v>58900</v>
      </c>
      <c r="M45" s="3" t="s">
        <v>23</v>
      </c>
      <c r="N45" s="10">
        <v>12234</v>
      </c>
      <c r="O45" s="12">
        <f>(Fact_Table[[#This Row],[Petrol_Output_BPD]]+Fact_Table[[#This Row],[Diesel_Output_BPD]]+Fact_Table[[#This Row],[Gas_Output_BPD]])/Fact_Table[[#This Row],[No_of_Employees]]</f>
        <v>189.9480234260615</v>
      </c>
      <c r="P45" s="2" t="str">
        <f>IF(Fact_Table[[#This Row],[0/P Producyivity/Day]]&gt;=1000,"High",IF(Fact_Table[[#This Row],[0/P Producyivity/Day]]&gt;=500,"Medium","Low"))</f>
        <v>Low</v>
      </c>
      <c r="Q45" s="10">
        <f>Fact_Table[[#This Row],[Capacity_BPD]]/Fact_Table[[#This Row],[Average_Salary_AED]]</f>
        <v>21.20892594409024</v>
      </c>
      <c r="R45" s="15">
        <f>(Fact_Table[[#This Row],[Petrol_Output_BPD]]/Fact_Table[[#This Row],[Capacity_BPD]])</f>
        <v>0.31931629860870236</v>
      </c>
      <c r="S45" s="15">
        <f>Fact_Table[[#This Row],[Diesel_Output_BPD]]/Fact_Table[[#This Row],[Capacity_BPD]]</f>
        <v>0.45367865263806989</v>
      </c>
      <c r="T45" s="15">
        <f>Fact_Table[[#This Row],[Gas_Output_BPD]]/Fact_Table[[#This Row],[Capacity_BPD]]</f>
        <v>0.22700119474313021</v>
      </c>
      <c r="U45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5" s="8">
        <f ca="1">YEAR(TODAY())-Fact_Table[[#This Row],[Commissioned_Year]]</f>
        <v>21</v>
      </c>
      <c r="W45" s="40" cm="1">
        <f t="array" ref="W45">_xlfn.XLOOKUP(Fact_Table[[#This Row],[Commissioned_Year]],cost_table[[#All],[Year]],cost_table[[#All],[Average_Crude_Price_USD_per_Barrel]],"0")</f>
        <v>18.600000000000001</v>
      </c>
      <c r="X45" s="40">
        <f>Fact_Table[[#This Row],[Capacity_BPD]]*Fact_Table[[#This Row],[cost per barrel]]</f>
        <v>4826142</v>
      </c>
    </row>
    <row r="46" spans="1:24" x14ac:dyDescent="0.35">
      <c r="A46" t="s">
        <v>27</v>
      </c>
      <c r="B46" t="s">
        <v>25</v>
      </c>
      <c r="C46" t="s">
        <v>46</v>
      </c>
      <c r="D46" s="5">
        <v>169135</v>
      </c>
      <c r="E46" s="5">
        <v>1977</v>
      </c>
      <c r="F46" s="5">
        <v>1321</v>
      </c>
      <c r="G46" s="3" t="s">
        <v>28</v>
      </c>
      <c r="H46" s="4">
        <v>12.76</v>
      </c>
      <c r="I46" s="4">
        <v>6.69</v>
      </c>
      <c r="J46" s="5">
        <v>79993</v>
      </c>
      <c r="K46" s="5">
        <v>57502</v>
      </c>
      <c r="L46" s="5">
        <v>31639</v>
      </c>
      <c r="M46" s="3" t="s">
        <v>17</v>
      </c>
      <c r="N46" s="10">
        <v>21892</v>
      </c>
      <c r="O46" s="12">
        <f>(Fact_Table[[#This Row],[Petrol_Output_BPD]]+Fact_Table[[#This Row],[Diesel_Output_BPD]]+Fact_Table[[#This Row],[Gas_Output_BPD]])/Fact_Table[[#This Row],[No_of_Employees]]</f>
        <v>128.03482210446631</v>
      </c>
      <c r="P46" s="2" t="str">
        <f>IF(Fact_Table[[#This Row],[0/P Producyivity/Day]]&gt;=1000,"High",IF(Fact_Table[[#This Row],[0/P Producyivity/Day]]&gt;=500,"Medium","Low"))</f>
        <v>Low</v>
      </c>
      <c r="Q46" s="10">
        <f>Fact_Table[[#This Row],[Capacity_BPD]]/Fact_Table[[#This Row],[Average_Salary_AED]]</f>
        <v>7.7258816005846889</v>
      </c>
      <c r="R46" s="15">
        <f>(Fact_Table[[#This Row],[Petrol_Output_BPD]]/Fact_Table[[#This Row],[Capacity_BPD]])</f>
        <v>0.4729535578088509</v>
      </c>
      <c r="S46" s="15">
        <f>Fact_Table[[#This Row],[Diesel_Output_BPD]]/Fact_Table[[#This Row],[Capacity_BPD]]</f>
        <v>0.33997694149643776</v>
      </c>
      <c r="T46" s="15">
        <f>Fact_Table[[#This Row],[Gas_Output_BPD]]/Fact_Table[[#This Row],[Capacity_BPD]]</f>
        <v>0.18706358825790048</v>
      </c>
      <c r="U4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6" s="8">
        <f ca="1">YEAR(TODAY())-Fact_Table[[#This Row],[Commissioned_Year]]</f>
        <v>48</v>
      </c>
      <c r="W46" s="40" cm="1">
        <f t="array" ref="W46">_xlfn.XLOOKUP(Fact_Table[[#This Row],[Commissioned_Year]],cost_table[[#All],[Year]],cost_table[[#All],[Average_Crude_Price_USD_per_Barrel]],"0")</f>
        <v>12.8</v>
      </c>
      <c r="X46" s="40">
        <f>Fact_Table[[#This Row],[Capacity_BPD]]*Fact_Table[[#This Row],[cost per barrel]]</f>
        <v>2164928</v>
      </c>
    </row>
    <row r="47" spans="1:24" x14ac:dyDescent="0.35">
      <c r="A47" t="s">
        <v>45</v>
      </c>
      <c r="B47" t="s">
        <v>26</v>
      </c>
      <c r="C47" t="s">
        <v>20</v>
      </c>
      <c r="D47" s="5">
        <v>155393</v>
      </c>
      <c r="E47" s="5">
        <v>2007</v>
      </c>
      <c r="F47" s="5">
        <v>1794</v>
      </c>
      <c r="G47" s="3" t="s">
        <v>21</v>
      </c>
      <c r="H47" s="4">
        <v>32.200000000000003</v>
      </c>
      <c r="I47" s="4">
        <v>5.73</v>
      </c>
      <c r="J47" s="5">
        <v>56032</v>
      </c>
      <c r="K47" s="5">
        <v>80606</v>
      </c>
      <c r="L47" s="5">
        <v>18754</v>
      </c>
      <c r="M47" s="3" t="s">
        <v>23</v>
      </c>
      <c r="N47" s="10">
        <v>14328</v>
      </c>
      <c r="O47" s="12">
        <f>(Fact_Table[[#This Row],[Petrol_Output_BPD]]+Fact_Table[[#This Row],[Diesel_Output_BPD]]+Fact_Table[[#This Row],[Gas_Output_BPD]])/Fact_Table[[#This Row],[No_of_Employees]]</f>
        <v>86.617614269788177</v>
      </c>
      <c r="P47" s="2" t="str">
        <f>IF(Fact_Table[[#This Row],[0/P Producyivity/Day]]&gt;=1000,"High",IF(Fact_Table[[#This Row],[0/P Producyivity/Day]]&gt;=500,"Medium","Low"))</f>
        <v>Low</v>
      </c>
      <c r="Q47" s="10">
        <f>Fact_Table[[#This Row],[Capacity_BPD]]/Fact_Table[[#This Row],[Average_Salary_AED]]</f>
        <v>10.845407593523172</v>
      </c>
      <c r="R47" s="15">
        <f>(Fact_Table[[#This Row],[Petrol_Output_BPD]]/Fact_Table[[#This Row],[Capacity_BPD]])</f>
        <v>0.36058252302227256</v>
      </c>
      <c r="S47" s="15">
        <f>Fact_Table[[#This Row],[Diesel_Output_BPD]]/Fact_Table[[#This Row],[Capacity_BPD]]</f>
        <v>0.51872349462330991</v>
      </c>
      <c r="T47" s="15">
        <f>Fact_Table[[#This Row],[Gas_Output_BPD]]/Fact_Table[[#This Row],[Capacity_BPD]]</f>
        <v>0.12068754705810429</v>
      </c>
      <c r="U47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7" s="8">
        <f ca="1">YEAR(TODAY())-Fact_Table[[#This Row],[Commissioned_Year]]</f>
        <v>18</v>
      </c>
      <c r="W47" s="40" cm="1">
        <f t="array" ref="W47">_xlfn.XLOOKUP(Fact_Table[[#This Row],[Commissioned_Year]],cost_table[[#All],[Year]],cost_table[[#All],[Average_Crude_Price_USD_per_Barrel]],"0")</f>
        <v>24.4</v>
      </c>
      <c r="X47" s="40">
        <f>Fact_Table[[#This Row],[Capacity_BPD]]*Fact_Table[[#This Row],[cost per barrel]]</f>
        <v>3791589.1999999997</v>
      </c>
    </row>
    <row r="48" spans="1:24" x14ac:dyDescent="0.35">
      <c r="A48" t="s">
        <v>45</v>
      </c>
      <c r="B48" t="s">
        <v>14</v>
      </c>
      <c r="C48" t="s">
        <v>49</v>
      </c>
      <c r="D48" s="5">
        <v>889429</v>
      </c>
      <c r="E48" s="5">
        <v>1988</v>
      </c>
      <c r="F48" s="5">
        <v>527</v>
      </c>
      <c r="G48" s="3" t="s">
        <v>28</v>
      </c>
      <c r="H48" s="4">
        <v>22.77</v>
      </c>
      <c r="I48" s="4">
        <v>6.09</v>
      </c>
      <c r="J48" s="5">
        <v>384447</v>
      </c>
      <c r="K48" s="5">
        <v>307119</v>
      </c>
      <c r="L48" s="5">
        <v>197862</v>
      </c>
      <c r="M48" s="3" t="s">
        <v>23</v>
      </c>
      <c r="N48" s="10">
        <v>24413</v>
      </c>
      <c r="O48" s="12">
        <f>(Fact_Table[[#This Row],[Petrol_Output_BPD]]+Fact_Table[[#This Row],[Diesel_Output_BPD]]+Fact_Table[[#This Row],[Gas_Output_BPD]])/Fact_Table[[#This Row],[No_of_Employees]]</f>
        <v>1687.719165085389</v>
      </c>
      <c r="P48" s="2" t="str">
        <f>IF(Fact_Table[[#This Row],[0/P Producyivity/Day]]&gt;=1000,"High",IF(Fact_Table[[#This Row],[0/P Producyivity/Day]]&gt;=500,"Medium","Low"))</f>
        <v>High</v>
      </c>
      <c r="Q48" s="10">
        <f>Fact_Table[[#This Row],[Capacity_BPD]]/Fact_Table[[#This Row],[Average_Salary_AED]]</f>
        <v>36.432597386638264</v>
      </c>
      <c r="R48" s="15">
        <f>(Fact_Table[[#This Row],[Petrol_Output_BPD]]/Fact_Table[[#This Row],[Capacity_BPD]])</f>
        <v>0.43224023502719161</v>
      </c>
      <c r="S48" s="15">
        <f>Fact_Table[[#This Row],[Diesel_Output_BPD]]/Fact_Table[[#This Row],[Capacity_BPD]]</f>
        <v>0.34529906265705301</v>
      </c>
      <c r="T48" s="15">
        <f>Fact_Table[[#This Row],[Gas_Output_BPD]]/Fact_Table[[#This Row],[Capacity_BPD]]</f>
        <v>0.22245957799891841</v>
      </c>
      <c r="U4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8" s="8">
        <f ca="1">YEAR(TODAY())-Fact_Table[[#This Row],[Commissioned_Year]]</f>
        <v>37</v>
      </c>
      <c r="W48" s="40" cm="1">
        <f t="array" ref="W48">_xlfn.XLOOKUP(Fact_Table[[#This Row],[Commissioned_Year]],cost_table[[#All],[Year]],cost_table[[#All],[Average_Crude_Price_USD_per_Barrel]],"0")</f>
        <v>14.9</v>
      </c>
      <c r="X48" s="40">
        <f>Fact_Table[[#This Row],[Capacity_BPD]]*Fact_Table[[#This Row],[cost per barrel]]</f>
        <v>13252492.1</v>
      </c>
    </row>
    <row r="49" spans="1:24" x14ac:dyDescent="0.35">
      <c r="A49" t="s">
        <v>30</v>
      </c>
      <c r="B49" t="s">
        <v>25</v>
      </c>
      <c r="C49" t="s">
        <v>46</v>
      </c>
      <c r="D49" s="5">
        <v>638382</v>
      </c>
      <c r="E49" s="5">
        <v>2014</v>
      </c>
      <c r="F49" s="5">
        <v>1414</v>
      </c>
      <c r="G49" s="3" t="s">
        <v>28</v>
      </c>
      <c r="H49" s="4">
        <v>22.74</v>
      </c>
      <c r="I49" s="4">
        <v>5.89</v>
      </c>
      <c r="J49" s="5">
        <v>233971</v>
      </c>
      <c r="K49" s="5">
        <v>321889</v>
      </c>
      <c r="L49" s="5">
        <v>82521</v>
      </c>
      <c r="M49" s="3" t="s">
        <v>29</v>
      </c>
      <c r="N49" s="10">
        <v>21871</v>
      </c>
      <c r="O49" s="12">
        <f>(Fact_Table[[#This Row],[Petrol_Output_BPD]]+Fact_Table[[#This Row],[Diesel_Output_BPD]]+Fact_Table[[#This Row],[Gas_Output_BPD]])/Fact_Table[[#This Row],[No_of_Employees]]</f>
        <v>451.47171145685996</v>
      </c>
      <c r="P49" s="2" t="str">
        <f>IF(Fact_Table[[#This Row],[0/P Producyivity/Day]]&gt;=1000,"High",IF(Fact_Table[[#This Row],[0/P Producyivity/Day]]&gt;=500,"Medium","Low"))</f>
        <v>Low</v>
      </c>
      <c r="Q49" s="10">
        <f>Fact_Table[[#This Row],[Capacity_BPD]]/Fact_Table[[#This Row],[Average_Salary_AED]]</f>
        <v>29.188514471217594</v>
      </c>
      <c r="R49" s="15">
        <f>(Fact_Table[[#This Row],[Petrol_Output_BPD]]/Fact_Table[[#This Row],[Capacity_BPD]])</f>
        <v>0.36650626114144824</v>
      </c>
      <c r="S49" s="15">
        <f>Fact_Table[[#This Row],[Diesel_Output_BPD]]/Fact_Table[[#This Row],[Capacity_BPD]]</f>
        <v>0.50422630963905624</v>
      </c>
      <c r="T49" s="15">
        <f>Fact_Table[[#This Row],[Gas_Output_BPD]]/Fact_Table[[#This Row],[Capacity_BPD]]</f>
        <v>0.12926586275928834</v>
      </c>
      <c r="U49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9" s="8">
        <f ca="1">YEAR(TODAY())-Fact_Table[[#This Row],[Commissioned_Year]]</f>
        <v>11</v>
      </c>
      <c r="W49" s="40" cm="1">
        <f t="array" ref="W49">_xlfn.XLOOKUP(Fact_Table[[#This Row],[Commissioned_Year]],cost_table[[#All],[Year]],cost_table[[#All],[Average_Crude_Price_USD_per_Barrel]],"0")</f>
        <v>61.9</v>
      </c>
      <c r="X49" s="40">
        <f>Fact_Table[[#This Row],[Capacity_BPD]]*Fact_Table[[#This Row],[cost per barrel]]</f>
        <v>39515845.799999997</v>
      </c>
    </row>
    <row r="50" spans="1:24" x14ac:dyDescent="0.35">
      <c r="A50" t="s">
        <v>36</v>
      </c>
      <c r="B50" t="s">
        <v>40</v>
      </c>
      <c r="C50" t="s">
        <v>51</v>
      </c>
      <c r="D50" s="5">
        <v>61178</v>
      </c>
      <c r="E50" s="5">
        <v>2002</v>
      </c>
      <c r="F50" s="5">
        <v>737</v>
      </c>
      <c r="G50" s="3" t="s">
        <v>21</v>
      </c>
      <c r="H50" s="4">
        <v>14.71</v>
      </c>
      <c r="I50" s="4">
        <v>8.5</v>
      </c>
      <c r="J50" s="5">
        <v>18286</v>
      </c>
      <c r="K50" s="5">
        <v>29478</v>
      </c>
      <c r="L50" s="5">
        <v>13412</v>
      </c>
      <c r="M50" s="3" t="s">
        <v>38</v>
      </c>
      <c r="N50" s="10">
        <v>16346</v>
      </c>
      <c r="O50" s="12">
        <f>(Fact_Table[[#This Row],[Petrol_Output_BPD]]+Fact_Table[[#This Row],[Diesel_Output_BPD]]+Fact_Table[[#This Row],[Gas_Output_BPD]])/Fact_Table[[#This Row],[No_of_Employees]]</f>
        <v>83.006784260515602</v>
      </c>
      <c r="P50" s="2" t="str">
        <f>IF(Fact_Table[[#This Row],[0/P Producyivity/Day]]&gt;=1000,"High",IF(Fact_Table[[#This Row],[0/P Producyivity/Day]]&gt;=500,"Medium","Low"))</f>
        <v>Low</v>
      </c>
      <c r="Q50" s="10">
        <f>Fact_Table[[#This Row],[Capacity_BPD]]/Fact_Table[[#This Row],[Average_Salary_AED]]</f>
        <v>3.742689342958522</v>
      </c>
      <c r="R50" s="15">
        <f>(Fact_Table[[#This Row],[Petrol_Output_BPD]]/Fact_Table[[#This Row],[Capacity_BPD]])</f>
        <v>0.29889829677334989</v>
      </c>
      <c r="S50" s="15">
        <f>Fact_Table[[#This Row],[Diesel_Output_BPD]]/Fact_Table[[#This Row],[Capacity_BPD]]</f>
        <v>0.48183987707999609</v>
      </c>
      <c r="T50" s="15">
        <f>Fact_Table[[#This Row],[Gas_Output_BPD]]/Fact_Table[[#This Row],[Capacity_BPD]]</f>
        <v>0.21922913465624899</v>
      </c>
      <c r="U50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50" s="8">
        <f ca="1">YEAR(TODAY())-Fact_Table[[#This Row],[Commissioned_Year]]</f>
        <v>23</v>
      </c>
      <c r="W50" s="40" cm="1">
        <f t="array" ref="W50">_xlfn.XLOOKUP(Fact_Table[[#This Row],[Commissioned_Year]],cost_table[[#All],[Year]],cost_table[[#All],[Average_Crude_Price_USD_per_Barrel]],"0")</f>
        <v>24.4</v>
      </c>
      <c r="X50" s="40">
        <f>Fact_Table[[#This Row],[Capacity_BPD]]*Fact_Table[[#This Row],[cost per barrel]]</f>
        <v>1492743.2</v>
      </c>
    </row>
    <row r="51" spans="1:24" x14ac:dyDescent="0.35">
      <c r="A51" t="s">
        <v>60</v>
      </c>
      <c r="B51" t="s">
        <v>40</v>
      </c>
      <c r="C51" t="s">
        <v>47</v>
      </c>
      <c r="D51" s="5">
        <v>821917</v>
      </c>
      <c r="E51" s="5">
        <v>1989</v>
      </c>
      <c r="F51" s="5">
        <v>2388</v>
      </c>
      <c r="G51" s="3" t="s">
        <v>16</v>
      </c>
      <c r="H51" s="4">
        <v>15.92</v>
      </c>
      <c r="I51" s="4">
        <v>6.34</v>
      </c>
      <c r="J51" s="5">
        <v>247191</v>
      </c>
      <c r="K51" s="5">
        <v>384916</v>
      </c>
      <c r="L51" s="5">
        <v>189808</v>
      </c>
      <c r="M51" s="3" t="s">
        <v>23</v>
      </c>
      <c r="N51" s="10">
        <v>21704</v>
      </c>
      <c r="O51" s="12">
        <f>(Fact_Table[[#This Row],[Petrol_Output_BPD]]+Fact_Table[[#This Row],[Diesel_Output_BPD]]+Fact_Table[[#This Row],[Gas_Output_BPD]])/Fact_Table[[#This Row],[No_of_Employees]]</f>
        <v>344.18551088777218</v>
      </c>
      <c r="P51" s="2" t="str">
        <f>IF(Fact_Table[[#This Row],[0/P Producyivity/Day]]&gt;=1000,"High",IF(Fact_Table[[#This Row],[0/P Producyivity/Day]]&gt;=500,"Medium","Low"))</f>
        <v>Low</v>
      </c>
      <c r="Q51" s="10">
        <f>Fact_Table[[#This Row],[Capacity_BPD]]/Fact_Table[[#This Row],[Average_Salary_AED]]</f>
        <v>37.869378916328785</v>
      </c>
      <c r="R51" s="15">
        <f>(Fact_Table[[#This Row],[Petrol_Output_BPD]]/Fact_Table[[#This Row],[Capacity_BPD]])</f>
        <v>0.30074934573685663</v>
      </c>
      <c r="S51" s="15">
        <f>Fact_Table[[#This Row],[Diesel_Output_BPD]]/Fact_Table[[#This Row],[Capacity_BPD]]</f>
        <v>0.46831492717634504</v>
      </c>
      <c r="T51" s="15">
        <f>Fact_Table[[#This Row],[Gas_Output_BPD]]/Fact_Table[[#This Row],[Capacity_BPD]]</f>
        <v>0.23093329375107219</v>
      </c>
      <c r="U5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51" s="8">
        <f ca="1">YEAR(TODAY())-Fact_Table[[#This Row],[Commissioned_Year]]</f>
        <v>36</v>
      </c>
      <c r="W51" s="40" cm="1">
        <f t="array" ref="W51">_xlfn.XLOOKUP(Fact_Table[[#This Row],[Commissioned_Year]],cost_table[[#All],[Year]],cost_table[[#All],[Average_Crude_Price_USD_per_Barrel]],"0")</f>
        <v>18.2</v>
      </c>
      <c r="X51" s="40">
        <f>Fact_Table[[#This Row],[Capacity_BPD]]*Fact_Table[[#This Row],[cost per barrel]]</f>
        <v>14958889.399999999</v>
      </c>
    </row>
    <row r="52" spans="1:24" x14ac:dyDescent="0.35">
      <c r="A52" t="s">
        <v>45</v>
      </c>
      <c r="B52" t="s">
        <v>19</v>
      </c>
      <c r="C52" t="s">
        <v>46</v>
      </c>
      <c r="D52" s="5">
        <v>416859</v>
      </c>
      <c r="E52" s="5">
        <v>2022</v>
      </c>
      <c r="F52" s="5">
        <v>1145</v>
      </c>
      <c r="G52" s="3" t="s">
        <v>31</v>
      </c>
      <c r="H52" s="4">
        <v>14.04</v>
      </c>
      <c r="I52" s="4">
        <v>5.47</v>
      </c>
      <c r="J52" s="5">
        <v>145457</v>
      </c>
      <c r="K52" s="5">
        <v>183522</v>
      </c>
      <c r="L52" s="5">
        <v>87879</v>
      </c>
      <c r="M52" s="3" t="s">
        <v>34</v>
      </c>
      <c r="N52" s="10">
        <v>11788</v>
      </c>
      <c r="O52" s="12">
        <f>(Fact_Table[[#This Row],[Petrol_Output_BPD]]+Fact_Table[[#This Row],[Diesel_Output_BPD]]+Fact_Table[[#This Row],[Gas_Output_BPD]])/Fact_Table[[#This Row],[No_of_Employees]]</f>
        <v>364.06812227074238</v>
      </c>
      <c r="P52" s="2" t="str">
        <f>IF(Fact_Table[[#This Row],[0/P Producyivity/Day]]&gt;=1000,"High",IF(Fact_Table[[#This Row],[0/P Producyivity/Day]]&gt;=500,"Medium","Low"))</f>
        <v>Low</v>
      </c>
      <c r="Q52" s="10">
        <f>Fact_Table[[#This Row],[Capacity_BPD]]/Fact_Table[[#This Row],[Average_Salary_AED]]</f>
        <v>35.362996267390564</v>
      </c>
      <c r="R52" s="15">
        <f>(Fact_Table[[#This Row],[Petrol_Output_BPD]]/Fact_Table[[#This Row],[Capacity_BPD]])</f>
        <v>0.34893573126644739</v>
      </c>
      <c r="S52" s="15">
        <f>Fact_Table[[#This Row],[Diesel_Output_BPD]]/Fact_Table[[#This Row],[Capacity_BPD]]</f>
        <v>0.44024958079350573</v>
      </c>
      <c r="T52" s="15">
        <f>Fact_Table[[#This Row],[Gas_Output_BPD]]/Fact_Table[[#This Row],[Capacity_BPD]]</f>
        <v>0.21081228904737573</v>
      </c>
      <c r="U5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52" s="8">
        <f ca="1">YEAR(TODAY())-Fact_Table[[#This Row],[Commissioned_Year]]</f>
        <v>3</v>
      </c>
      <c r="W52" s="40" cm="1">
        <f t="array" ref="W52">_xlfn.XLOOKUP(Fact_Table[[#This Row],[Commissioned_Year]],cost_table[[#All],[Year]],cost_table[[#All],[Average_Crude_Price_USD_per_Barrel]],"0")</f>
        <v>71.3</v>
      </c>
      <c r="X52" s="40">
        <f>Fact_Table[[#This Row],[Capacity_BPD]]*Fact_Table[[#This Row],[cost per barrel]]</f>
        <v>29722046.699999999</v>
      </c>
    </row>
    <row r="53" spans="1:24" x14ac:dyDescent="0.35">
      <c r="A53" t="s">
        <v>24</v>
      </c>
      <c r="B53" t="s">
        <v>32</v>
      </c>
      <c r="C53" t="s">
        <v>48</v>
      </c>
      <c r="D53" s="5">
        <v>189280</v>
      </c>
      <c r="E53" s="5">
        <v>1976</v>
      </c>
      <c r="F53" s="5">
        <v>616</v>
      </c>
      <c r="G53" s="3" t="s">
        <v>28</v>
      </c>
      <c r="H53" s="4">
        <v>1.53</v>
      </c>
      <c r="I53" s="4">
        <v>7.67</v>
      </c>
      <c r="J53" s="5">
        <v>67016</v>
      </c>
      <c r="K53" s="5">
        <v>79599</v>
      </c>
      <c r="L53" s="5">
        <v>42663</v>
      </c>
      <c r="M53" s="3" t="s">
        <v>23</v>
      </c>
      <c r="N53" s="10">
        <v>21894</v>
      </c>
      <c r="O53" s="12">
        <f>(Fact_Table[[#This Row],[Petrol_Output_BPD]]+Fact_Table[[#This Row],[Diesel_Output_BPD]]+Fact_Table[[#This Row],[Gas_Output_BPD]])/Fact_Table[[#This Row],[No_of_Employees]]</f>
        <v>307.26948051948051</v>
      </c>
      <c r="P53" s="2" t="str">
        <f>IF(Fact_Table[[#This Row],[0/P Producyivity/Day]]&gt;=1000,"High",IF(Fact_Table[[#This Row],[0/P Producyivity/Day]]&gt;=500,"Medium","Low"))</f>
        <v>Low</v>
      </c>
      <c r="Q53" s="10">
        <f>Fact_Table[[#This Row],[Capacity_BPD]]/Fact_Table[[#This Row],[Average_Salary_AED]]</f>
        <v>8.6452909472914961</v>
      </c>
      <c r="R53" s="15">
        <f>(Fact_Table[[#This Row],[Petrol_Output_BPD]]/Fact_Table[[#This Row],[Capacity_BPD]])</f>
        <v>0.35405748098055789</v>
      </c>
      <c r="S53" s="15">
        <f>Fact_Table[[#This Row],[Diesel_Output_BPD]]/Fact_Table[[#This Row],[Capacity_BPD]]</f>
        <v>0.42053571428571429</v>
      </c>
      <c r="T53" s="15">
        <f>Fact_Table[[#This Row],[Gas_Output_BPD]]/Fact_Table[[#This Row],[Capacity_BPD]]</f>
        <v>0.22539623837700762</v>
      </c>
      <c r="U53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53" s="8">
        <f ca="1">YEAR(TODAY())-Fact_Table[[#This Row],[Commissioned_Year]]</f>
        <v>49</v>
      </c>
      <c r="W53" s="40" cm="1">
        <f t="array" ref="W53">_xlfn.XLOOKUP(Fact_Table[[#This Row],[Commissioned_Year]],cost_table[[#All],[Year]],cost_table[[#All],[Average_Crude_Price_USD_per_Barrel]],"0")</f>
        <v>11.2</v>
      </c>
      <c r="X53" s="40">
        <f>Fact_Table[[#This Row],[Capacity_BPD]]*Fact_Table[[#This Row],[cost per barrel]]</f>
        <v>2119936</v>
      </c>
    </row>
    <row r="54" spans="1:24" x14ac:dyDescent="0.35">
      <c r="A54" t="s">
        <v>30</v>
      </c>
      <c r="B54" t="s">
        <v>41</v>
      </c>
      <c r="C54" t="s">
        <v>39</v>
      </c>
      <c r="D54" s="5">
        <v>355426</v>
      </c>
      <c r="E54" s="5">
        <v>1976</v>
      </c>
      <c r="F54" s="5">
        <v>1474</v>
      </c>
      <c r="G54" s="3" t="s">
        <v>31</v>
      </c>
      <c r="H54" s="4">
        <v>7.22</v>
      </c>
      <c r="I54" s="4">
        <v>9.59</v>
      </c>
      <c r="J54" s="5">
        <v>126254</v>
      </c>
      <c r="K54" s="5">
        <v>150531</v>
      </c>
      <c r="L54" s="5">
        <v>78639</v>
      </c>
      <c r="M54" s="3" t="s">
        <v>38</v>
      </c>
      <c r="N54" s="10">
        <v>16903</v>
      </c>
      <c r="O54" s="12">
        <f>(Fact_Table[[#This Row],[Petrol_Output_BPD]]+Fact_Table[[#This Row],[Diesel_Output_BPD]]+Fact_Table[[#This Row],[Gas_Output_BPD]])/Fact_Table[[#This Row],[No_of_Employees]]</f>
        <v>241.12890094979647</v>
      </c>
      <c r="P54" s="2" t="str">
        <f>IF(Fact_Table[[#This Row],[0/P Producyivity/Day]]&gt;=1000,"High",IF(Fact_Table[[#This Row],[0/P Producyivity/Day]]&gt;=500,"Medium","Low"))</f>
        <v>Low</v>
      </c>
      <c r="Q54" s="10">
        <f>Fact_Table[[#This Row],[Capacity_BPD]]/Fact_Table[[#This Row],[Average_Salary_AED]]</f>
        <v>21.027391587292197</v>
      </c>
      <c r="R54" s="15">
        <f>(Fact_Table[[#This Row],[Petrol_Output_BPD]]/Fact_Table[[#This Row],[Capacity_BPD]])</f>
        <v>0.3552188078531115</v>
      </c>
      <c r="S54" s="15">
        <f>Fact_Table[[#This Row],[Diesel_Output_BPD]]/Fact_Table[[#This Row],[Capacity_BPD]]</f>
        <v>0.42352275860516675</v>
      </c>
      <c r="T54" s="15">
        <f>Fact_Table[[#This Row],[Gas_Output_BPD]]/Fact_Table[[#This Row],[Capacity_BPD]]</f>
        <v>0.22125280649136528</v>
      </c>
      <c r="U54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54" s="8">
        <f ca="1">YEAR(TODAY())-Fact_Table[[#This Row],[Commissioned_Year]]</f>
        <v>49</v>
      </c>
      <c r="W54" s="40" cm="1">
        <f t="array" ref="W54">_xlfn.XLOOKUP(Fact_Table[[#This Row],[Commissioned_Year]],cost_table[[#All],[Year]],cost_table[[#All],[Average_Crude_Price_USD_per_Barrel]],"0")</f>
        <v>11.2</v>
      </c>
      <c r="X54" s="40">
        <f>Fact_Table[[#This Row],[Capacity_BPD]]*Fact_Table[[#This Row],[cost per barrel]]</f>
        <v>3980771.1999999997</v>
      </c>
    </row>
    <row r="55" spans="1:24" x14ac:dyDescent="0.35">
      <c r="A55" t="s">
        <v>60</v>
      </c>
      <c r="B55" t="s">
        <v>26</v>
      </c>
      <c r="C55" t="s">
        <v>20</v>
      </c>
      <c r="D55" s="5">
        <v>535485</v>
      </c>
      <c r="E55" s="5">
        <v>1995</v>
      </c>
      <c r="F55" s="5">
        <v>1555</v>
      </c>
      <c r="G55" s="3" t="s">
        <v>21</v>
      </c>
      <c r="H55" s="4">
        <v>15.23</v>
      </c>
      <c r="I55" s="4">
        <v>6.44</v>
      </c>
      <c r="J55" s="5">
        <v>189470</v>
      </c>
      <c r="K55" s="5">
        <v>240150</v>
      </c>
      <c r="L55" s="5">
        <v>105864</v>
      </c>
      <c r="M55" s="3" t="s">
        <v>29</v>
      </c>
      <c r="N55" s="10">
        <v>24110</v>
      </c>
      <c r="O55" s="12">
        <f>(Fact_Table[[#This Row],[Petrol_Output_BPD]]+Fact_Table[[#This Row],[Diesel_Output_BPD]]+Fact_Table[[#This Row],[Gas_Output_BPD]])/Fact_Table[[#This Row],[No_of_Employees]]</f>
        <v>344.36270096463022</v>
      </c>
      <c r="P55" s="2" t="str">
        <f>IF(Fact_Table[[#This Row],[0/P Producyivity/Day]]&gt;=1000,"High",IF(Fact_Table[[#This Row],[0/P Producyivity/Day]]&gt;=500,"Medium","Low"))</f>
        <v>Low</v>
      </c>
      <c r="Q55" s="10">
        <f>Fact_Table[[#This Row],[Capacity_BPD]]/Fact_Table[[#This Row],[Average_Salary_AED]]</f>
        <v>22.210078805474907</v>
      </c>
      <c r="R55" s="15">
        <f>(Fact_Table[[#This Row],[Petrol_Output_BPD]]/Fact_Table[[#This Row],[Capacity_BPD]])</f>
        <v>0.3538287720477698</v>
      </c>
      <c r="S55" s="15">
        <f>Fact_Table[[#This Row],[Diesel_Output_BPD]]/Fact_Table[[#This Row],[Capacity_BPD]]</f>
        <v>0.44847194599288498</v>
      </c>
      <c r="T55" s="15">
        <f>Fact_Table[[#This Row],[Gas_Output_BPD]]/Fact_Table[[#This Row],[Capacity_BPD]]</f>
        <v>0.19769741449340317</v>
      </c>
      <c r="U55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55" s="8">
        <f ca="1">YEAR(TODAY())-Fact_Table[[#This Row],[Commissioned_Year]]</f>
        <v>30</v>
      </c>
      <c r="W55" s="40" cm="1">
        <f t="array" ref="W55">_xlfn.XLOOKUP(Fact_Table[[#This Row],[Commissioned_Year]],cost_table[[#All],[Year]],cost_table[[#All],[Average_Crude_Price_USD_per_Barrel]],"0")</f>
        <v>20.100000000000001</v>
      </c>
      <c r="X55" s="40">
        <f>Fact_Table[[#This Row],[Capacity_BPD]]*Fact_Table[[#This Row],[cost per barrel]]</f>
        <v>10763248.5</v>
      </c>
    </row>
    <row r="56" spans="1:24" x14ac:dyDescent="0.35">
      <c r="A56" t="s">
        <v>45</v>
      </c>
      <c r="B56" t="s">
        <v>41</v>
      </c>
      <c r="C56" t="s">
        <v>49</v>
      </c>
      <c r="D56" s="5">
        <v>452559</v>
      </c>
      <c r="E56" s="5">
        <v>2019</v>
      </c>
      <c r="F56" s="5">
        <v>1970</v>
      </c>
      <c r="G56" s="3" t="s">
        <v>31</v>
      </c>
      <c r="H56" s="4">
        <v>33.85</v>
      </c>
      <c r="I56" s="4">
        <v>8.1199999999999992</v>
      </c>
      <c r="J56" s="5">
        <v>182857</v>
      </c>
      <c r="K56" s="5">
        <v>188067</v>
      </c>
      <c r="L56" s="5">
        <v>81633</v>
      </c>
      <c r="M56" s="3" t="s">
        <v>38</v>
      </c>
      <c r="N56" s="10">
        <v>24192</v>
      </c>
      <c r="O56" s="12">
        <f>(Fact_Table[[#This Row],[Petrol_Output_BPD]]+Fact_Table[[#This Row],[Diesel_Output_BPD]]+Fact_Table[[#This Row],[Gas_Output_BPD]])/Fact_Table[[#This Row],[No_of_Employees]]</f>
        <v>229.72436548223351</v>
      </c>
      <c r="P56" s="2" t="str">
        <f>IF(Fact_Table[[#This Row],[0/P Producyivity/Day]]&gt;=1000,"High",IF(Fact_Table[[#This Row],[0/P Producyivity/Day]]&gt;=500,"Medium","Low"))</f>
        <v>Low</v>
      </c>
      <c r="Q56" s="10">
        <f>Fact_Table[[#This Row],[Capacity_BPD]]/Fact_Table[[#This Row],[Average_Salary_AED]]</f>
        <v>18.706969246031747</v>
      </c>
      <c r="R56" s="15">
        <f>(Fact_Table[[#This Row],[Petrol_Output_BPD]]/Fact_Table[[#This Row],[Capacity_BPD]])</f>
        <v>0.40405118448644267</v>
      </c>
      <c r="S56" s="15">
        <f>Fact_Table[[#This Row],[Diesel_Output_BPD]]/Fact_Table[[#This Row],[Capacity_BPD]]</f>
        <v>0.41556349558842054</v>
      </c>
      <c r="T56" s="15">
        <f>Fact_Table[[#This Row],[Gas_Output_BPD]]/Fact_Table[[#This Row],[Capacity_BPD]]</f>
        <v>0.18038090061185391</v>
      </c>
      <c r="U56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56" s="8">
        <f ca="1">YEAR(TODAY())-Fact_Table[[#This Row],[Commissioned_Year]]</f>
        <v>6</v>
      </c>
      <c r="W56" s="40" cm="1">
        <f t="array" ref="W56">_xlfn.XLOOKUP(Fact_Table[[#This Row],[Commissioned_Year]],cost_table[[#All],[Year]],cost_table[[#All],[Average_Crude_Price_USD_per_Barrel]],"0")</f>
        <v>52.3</v>
      </c>
      <c r="X56" s="40">
        <f>Fact_Table[[#This Row],[Capacity_BPD]]*Fact_Table[[#This Row],[cost per barrel]]</f>
        <v>23668835.699999999</v>
      </c>
    </row>
    <row r="57" spans="1:24" x14ac:dyDescent="0.35">
      <c r="A57" t="s">
        <v>45</v>
      </c>
      <c r="B57" t="s">
        <v>41</v>
      </c>
      <c r="C57" t="s">
        <v>15</v>
      </c>
      <c r="D57" s="5">
        <v>248346</v>
      </c>
      <c r="E57" s="5">
        <v>2015</v>
      </c>
      <c r="F57" s="5">
        <v>963</v>
      </c>
      <c r="G57" s="3" t="s">
        <v>21</v>
      </c>
      <c r="H57" s="4">
        <v>20.81</v>
      </c>
      <c r="I57" s="4">
        <v>8.73</v>
      </c>
      <c r="J57" s="5">
        <v>70345</v>
      </c>
      <c r="K57" s="5">
        <v>118699</v>
      </c>
      <c r="L57" s="5">
        <v>59300</v>
      </c>
      <c r="M57" s="3" t="s">
        <v>17</v>
      </c>
      <c r="N57" s="10">
        <v>21428</v>
      </c>
      <c r="O57" s="12">
        <f>(Fact_Table[[#This Row],[Petrol_Output_BPD]]+Fact_Table[[#This Row],[Diesel_Output_BPD]]+Fact_Table[[#This Row],[Gas_Output_BPD]])/Fact_Table[[#This Row],[No_of_Employees]]</f>
        <v>257.88577362409137</v>
      </c>
      <c r="P57" s="2" t="str">
        <f>IF(Fact_Table[[#This Row],[0/P Producyivity/Day]]&gt;=1000,"High",IF(Fact_Table[[#This Row],[0/P Producyivity/Day]]&gt;=500,"Medium","Low"))</f>
        <v>Low</v>
      </c>
      <c r="Q57" s="10">
        <f>Fact_Table[[#This Row],[Capacity_BPD]]/Fact_Table[[#This Row],[Average_Salary_AED]]</f>
        <v>11.589789061041628</v>
      </c>
      <c r="R57" s="15">
        <f>(Fact_Table[[#This Row],[Petrol_Output_BPD]]/Fact_Table[[#This Row],[Capacity_BPD]])</f>
        <v>0.28325400852037075</v>
      </c>
      <c r="S57" s="15">
        <f>Fact_Table[[#This Row],[Diesel_Output_BPD]]/Fact_Table[[#This Row],[Capacity_BPD]]</f>
        <v>0.47795817126106321</v>
      </c>
      <c r="T57" s="15">
        <f>Fact_Table[[#This Row],[Gas_Output_BPD]]/Fact_Table[[#This Row],[Capacity_BPD]]</f>
        <v>0.23877976693806222</v>
      </c>
      <c r="U57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57" s="8">
        <f ca="1">YEAR(TODAY())-Fact_Table[[#This Row],[Commissioned_Year]]</f>
        <v>10</v>
      </c>
      <c r="W57" s="40" cm="1">
        <f t="array" ref="W57">_xlfn.XLOOKUP(Fact_Table[[#This Row],[Commissioned_Year]],cost_table[[#All],[Year]],cost_table[[#All],[Average_Crude_Price_USD_per_Barrel]],"0")</f>
        <v>43.7</v>
      </c>
      <c r="X57" s="40">
        <f>Fact_Table[[#This Row],[Capacity_BPD]]*Fact_Table[[#This Row],[cost per barrel]]</f>
        <v>10852720.200000001</v>
      </c>
    </row>
    <row r="58" spans="1:24" x14ac:dyDescent="0.35">
      <c r="A58" t="s">
        <v>45</v>
      </c>
      <c r="B58" t="s">
        <v>32</v>
      </c>
      <c r="C58" t="s">
        <v>39</v>
      </c>
      <c r="D58" s="5">
        <v>862958</v>
      </c>
      <c r="E58" s="5">
        <v>2000</v>
      </c>
      <c r="F58" s="5">
        <v>1664</v>
      </c>
      <c r="G58" s="3" t="s">
        <v>28</v>
      </c>
      <c r="H58" s="4">
        <v>21.46</v>
      </c>
      <c r="I58" s="4">
        <v>6.67</v>
      </c>
      <c r="J58" s="5">
        <v>359983</v>
      </c>
      <c r="K58" s="5">
        <v>378744</v>
      </c>
      <c r="L58" s="5">
        <v>124230</v>
      </c>
      <c r="M58" s="3" t="s">
        <v>38</v>
      </c>
      <c r="N58" s="10">
        <v>17659</v>
      </c>
      <c r="O58" s="12">
        <f>(Fact_Table[[#This Row],[Petrol_Output_BPD]]+Fact_Table[[#This Row],[Diesel_Output_BPD]]+Fact_Table[[#This Row],[Gas_Output_BPD]])/Fact_Table[[#This Row],[No_of_Employees]]</f>
        <v>518.60396634615381</v>
      </c>
      <c r="P58" s="2" t="str">
        <f>IF(Fact_Table[[#This Row],[0/P Producyivity/Day]]&gt;=1000,"High",IF(Fact_Table[[#This Row],[0/P Producyivity/Day]]&gt;=500,"Medium","Low"))</f>
        <v>Medium</v>
      </c>
      <c r="Q58" s="10">
        <f>Fact_Table[[#This Row],[Capacity_BPD]]/Fact_Table[[#This Row],[Average_Salary_AED]]</f>
        <v>48.867886063763521</v>
      </c>
      <c r="R58" s="15">
        <f>(Fact_Table[[#This Row],[Petrol_Output_BPD]]/Fact_Table[[#This Row],[Capacity_BPD]])</f>
        <v>0.4171500814639878</v>
      </c>
      <c r="S58" s="15">
        <f>Fact_Table[[#This Row],[Diesel_Output_BPD]]/Fact_Table[[#This Row],[Capacity_BPD]]</f>
        <v>0.43889042108654186</v>
      </c>
      <c r="T58" s="15">
        <f>Fact_Table[[#This Row],[Gas_Output_BPD]]/Fact_Table[[#This Row],[Capacity_BPD]]</f>
        <v>0.14395833864452268</v>
      </c>
      <c r="U5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58" s="8">
        <f ca="1">YEAR(TODAY())-Fact_Table[[#This Row],[Commissioned_Year]]</f>
        <v>25</v>
      </c>
      <c r="W58" s="40" cm="1">
        <f t="array" ref="W58">_xlfn.XLOOKUP(Fact_Table[[#This Row],[Commissioned_Year]],cost_table[[#All],[Year]],cost_table[[#All],[Average_Crude_Price_USD_per_Barrel]],"0")</f>
        <v>23.1</v>
      </c>
      <c r="X58" s="40">
        <f>Fact_Table[[#This Row],[Capacity_BPD]]*Fact_Table[[#This Row],[cost per barrel]]</f>
        <v>19934329.800000001</v>
      </c>
    </row>
    <row r="59" spans="1:24" x14ac:dyDescent="0.35">
      <c r="A59" t="s">
        <v>22</v>
      </c>
      <c r="B59" t="s">
        <v>19</v>
      </c>
      <c r="C59" t="s">
        <v>47</v>
      </c>
      <c r="D59" s="5">
        <v>399486</v>
      </c>
      <c r="E59" s="5">
        <v>2008</v>
      </c>
      <c r="F59" s="5">
        <v>2366</v>
      </c>
      <c r="G59" s="3" t="s">
        <v>16</v>
      </c>
      <c r="H59" s="4">
        <v>13.73</v>
      </c>
      <c r="I59" s="4">
        <v>8.41</v>
      </c>
      <c r="J59" s="5">
        <v>125199</v>
      </c>
      <c r="K59" s="5">
        <v>195266</v>
      </c>
      <c r="L59" s="5">
        <v>79020</v>
      </c>
      <c r="M59" s="3" t="s">
        <v>23</v>
      </c>
      <c r="N59" s="10">
        <v>13882</v>
      </c>
      <c r="O59" s="12">
        <f>(Fact_Table[[#This Row],[Petrol_Output_BPD]]+Fact_Table[[#This Row],[Diesel_Output_BPD]]+Fact_Table[[#This Row],[Gas_Output_BPD]])/Fact_Table[[#This Row],[No_of_Employees]]</f>
        <v>168.84404057480981</v>
      </c>
      <c r="P59" s="2" t="str">
        <f>IF(Fact_Table[[#This Row],[0/P Producyivity/Day]]&gt;=1000,"High",IF(Fact_Table[[#This Row],[0/P Producyivity/Day]]&gt;=500,"Medium","Low"))</f>
        <v>Low</v>
      </c>
      <c r="Q59" s="10">
        <f>Fact_Table[[#This Row],[Capacity_BPD]]/Fact_Table[[#This Row],[Average_Salary_AED]]</f>
        <v>28.777265523699754</v>
      </c>
      <c r="R59" s="15">
        <f>(Fact_Table[[#This Row],[Petrol_Output_BPD]]/Fact_Table[[#This Row],[Capacity_BPD]])</f>
        <v>0.31340021928177708</v>
      </c>
      <c r="S59" s="15">
        <f>Fact_Table[[#This Row],[Diesel_Output_BPD]]/Fact_Table[[#This Row],[Capacity_BPD]]</f>
        <v>0.48879309913238511</v>
      </c>
      <c r="T59" s="15">
        <f>Fact_Table[[#This Row],[Gas_Output_BPD]]/Fact_Table[[#This Row],[Capacity_BPD]]</f>
        <v>0.19780417836920441</v>
      </c>
      <c r="U59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59" s="8">
        <f ca="1">YEAR(TODAY())-Fact_Table[[#This Row],[Commissioned_Year]]</f>
        <v>17</v>
      </c>
      <c r="W59" s="40" cm="1">
        <f t="array" ref="W59">_xlfn.XLOOKUP(Fact_Table[[#This Row],[Commissioned_Year]],cost_table[[#All],[Year]],cost_table[[#All],[Average_Crude_Price_USD_per_Barrel]],"0")</f>
        <v>31</v>
      </c>
      <c r="X59" s="40">
        <f>Fact_Table[[#This Row],[Capacity_BPD]]*Fact_Table[[#This Row],[cost per barrel]]</f>
        <v>12384066</v>
      </c>
    </row>
    <row r="60" spans="1:24" x14ac:dyDescent="0.35">
      <c r="A60" t="s">
        <v>22</v>
      </c>
      <c r="B60" t="s">
        <v>25</v>
      </c>
      <c r="C60" t="s">
        <v>33</v>
      </c>
      <c r="D60" s="5">
        <v>275282</v>
      </c>
      <c r="E60" s="5">
        <v>1990</v>
      </c>
      <c r="F60" s="5">
        <v>2279</v>
      </c>
      <c r="G60" s="3" t="s">
        <v>31</v>
      </c>
      <c r="H60" s="4">
        <v>27.59</v>
      </c>
      <c r="I60" s="4">
        <v>8.6999999999999993</v>
      </c>
      <c r="J60" s="5">
        <v>119320</v>
      </c>
      <c r="K60" s="5">
        <v>117925</v>
      </c>
      <c r="L60" s="5">
        <v>38035</v>
      </c>
      <c r="M60" s="3" t="s">
        <v>34</v>
      </c>
      <c r="N60" s="10">
        <v>8181</v>
      </c>
      <c r="O60" s="12">
        <f>(Fact_Table[[#This Row],[Petrol_Output_BPD]]+Fact_Table[[#This Row],[Diesel_Output_BPD]]+Fact_Table[[#This Row],[Gas_Output_BPD]])/Fact_Table[[#This Row],[No_of_Employees]]</f>
        <v>120.78982009653356</v>
      </c>
      <c r="P60" s="2" t="str">
        <f>IF(Fact_Table[[#This Row],[0/P Producyivity/Day]]&gt;=1000,"High",IF(Fact_Table[[#This Row],[0/P Producyivity/Day]]&gt;=500,"Medium","Low"))</f>
        <v>Low</v>
      </c>
      <c r="Q60" s="10">
        <f>Fact_Table[[#This Row],[Capacity_BPD]]/Fact_Table[[#This Row],[Average_Salary_AED]]</f>
        <v>33.648942672044981</v>
      </c>
      <c r="R60" s="15">
        <f>(Fact_Table[[#This Row],[Petrol_Output_BPD]]/Fact_Table[[#This Row],[Capacity_BPD]])</f>
        <v>0.43344642947958822</v>
      </c>
      <c r="S60" s="15">
        <f>Fact_Table[[#This Row],[Diesel_Output_BPD]]/Fact_Table[[#This Row],[Capacity_BPD]]</f>
        <v>0.42837889872930301</v>
      </c>
      <c r="T60" s="15">
        <f>Fact_Table[[#This Row],[Gas_Output_BPD]]/Fact_Table[[#This Row],[Capacity_BPD]]</f>
        <v>0.13816740651404741</v>
      </c>
      <c r="U60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60" s="8">
        <f ca="1">YEAR(TODAY())-Fact_Table[[#This Row],[Commissioned_Year]]</f>
        <v>35</v>
      </c>
      <c r="W60" s="40" cm="1">
        <f t="array" ref="W60">_xlfn.XLOOKUP(Fact_Table[[#This Row],[Commissioned_Year]],cost_table[[#All],[Year]],cost_table[[#All],[Average_Crude_Price_USD_per_Barrel]],"0")</f>
        <v>22.3</v>
      </c>
      <c r="X60" s="40">
        <f>Fact_Table[[#This Row],[Capacity_BPD]]*Fact_Table[[#This Row],[cost per barrel]]</f>
        <v>6138788.6000000006</v>
      </c>
    </row>
    <row r="61" spans="1:24" x14ac:dyDescent="0.35">
      <c r="A61" t="s">
        <v>45</v>
      </c>
      <c r="B61" t="s">
        <v>40</v>
      </c>
      <c r="C61" t="s">
        <v>15</v>
      </c>
      <c r="D61" s="5">
        <v>548303</v>
      </c>
      <c r="E61" s="5">
        <v>2009</v>
      </c>
      <c r="F61" s="5">
        <v>432</v>
      </c>
      <c r="G61" s="3" t="s">
        <v>28</v>
      </c>
      <c r="H61" s="4">
        <v>13.81</v>
      </c>
      <c r="I61" s="4">
        <v>9.44</v>
      </c>
      <c r="J61" s="5">
        <v>209885</v>
      </c>
      <c r="K61" s="5">
        <v>219312</v>
      </c>
      <c r="L61" s="5">
        <v>119104</v>
      </c>
      <c r="M61" s="3" t="s">
        <v>23</v>
      </c>
      <c r="N61" s="10">
        <v>22305</v>
      </c>
      <c r="O61" s="12">
        <f>(Fact_Table[[#This Row],[Petrol_Output_BPD]]+Fact_Table[[#This Row],[Diesel_Output_BPD]]+Fact_Table[[#This Row],[Gas_Output_BPD]])/Fact_Table[[#This Row],[No_of_Employees]]</f>
        <v>1269.2152777777778</v>
      </c>
      <c r="P61" s="2" t="str">
        <f>IF(Fact_Table[[#This Row],[0/P Producyivity/Day]]&gt;=1000,"High",IF(Fact_Table[[#This Row],[0/P Producyivity/Day]]&gt;=500,"Medium","Low"))</f>
        <v>High</v>
      </c>
      <c r="Q61" s="10">
        <f>Fact_Table[[#This Row],[Capacity_BPD]]/Fact_Table[[#This Row],[Average_Salary_AED]]</f>
        <v>24.582066801165659</v>
      </c>
      <c r="R61" s="15">
        <f>(Fact_Table[[#This Row],[Petrol_Output_BPD]]/Fact_Table[[#This Row],[Capacity_BPD]])</f>
        <v>0.38279017258705494</v>
      </c>
      <c r="S61" s="15">
        <f>Fact_Table[[#This Row],[Diesel_Output_BPD]]/Fact_Table[[#This Row],[Capacity_BPD]]</f>
        <v>0.39998322095629607</v>
      </c>
      <c r="T61" s="15">
        <f>Fact_Table[[#This Row],[Gas_Output_BPD]]/Fact_Table[[#This Row],[Capacity_BPD]]</f>
        <v>0.21722295883845247</v>
      </c>
      <c r="U61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61" s="8">
        <f ca="1">YEAR(TODAY())-Fact_Table[[#This Row],[Commissioned_Year]]</f>
        <v>16</v>
      </c>
      <c r="W61" s="40" cm="1">
        <f t="array" ref="W61">_xlfn.XLOOKUP(Fact_Table[[#This Row],[Commissioned_Year]],cost_table[[#All],[Year]],cost_table[[#All],[Average_Crude_Price_USD_per_Barrel]],"0")</f>
        <v>41.4</v>
      </c>
      <c r="X61" s="40">
        <f>Fact_Table[[#This Row],[Capacity_BPD]]*Fact_Table[[#This Row],[cost per barrel]]</f>
        <v>22699744.199999999</v>
      </c>
    </row>
    <row r="62" spans="1:24" x14ac:dyDescent="0.35">
      <c r="A62" t="s">
        <v>22</v>
      </c>
      <c r="B62" t="s">
        <v>40</v>
      </c>
      <c r="C62" t="s">
        <v>39</v>
      </c>
      <c r="D62" s="5">
        <v>688930</v>
      </c>
      <c r="E62" s="5">
        <v>1989</v>
      </c>
      <c r="F62" s="5">
        <v>540</v>
      </c>
      <c r="G62" s="3" t="s">
        <v>28</v>
      </c>
      <c r="H62" s="4">
        <v>10.89</v>
      </c>
      <c r="I62" s="4">
        <v>9.7200000000000006</v>
      </c>
      <c r="J62" s="5">
        <v>259993</v>
      </c>
      <c r="K62" s="5">
        <v>298487</v>
      </c>
      <c r="L62" s="5">
        <v>130448</v>
      </c>
      <c r="M62" s="3" t="s">
        <v>34</v>
      </c>
      <c r="N62" s="10">
        <v>23355</v>
      </c>
      <c r="O62" s="12">
        <f>(Fact_Table[[#This Row],[Petrol_Output_BPD]]+Fact_Table[[#This Row],[Diesel_Output_BPD]]+Fact_Table[[#This Row],[Gas_Output_BPD]])/Fact_Table[[#This Row],[No_of_Employees]]</f>
        <v>1275.7925925925927</v>
      </c>
      <c r="P62" s="2" t="str">
        <f>IF(Fact_Table[[#This Row],[0/P Producyivity/Day]]&gt;=1000,"High",IF(Fact_Table[[#This Row],[0/P Producyivity/Day]]&gt;=500,"Medium","Low"))</f>
        <v>High</v>
      </c>
      <c r="Q62" s="10">
        <f>Fact_Table[[#This Row],[Capacity_BPD]]/Fact_Table[[#This Row],[Average_Salary_AED]]</f>
        <v>29.498180261186043</v>
      </c>
      <c r="R62" s="15">
        <f>(Fact_Table[[#This Row],[Petrol_Output_BPD]]/Fact_Table[[#This Row],[Capacity_BPD]])</f>
        <v>0.37738667208569809</v>
      </c>
      <c r="S62" s="15">
        <f>Fact_Table[[#This Row],[Diesel_Output_BPD]]/Fact_Table[[#This Row],[Capacity_BPD]]</f>
        <v>0.43326172470352575</v>
      </c>
      <c r="T62" s="15">
        <f>Fact_Table[[#This Row],[Gas_Output_BPD]]/Fact_Table[[#This Row],[Capacity_BPD]]</f>
        <v>0.18934870015821637</v>
      </c>
      <c r="U62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62" s="8">
        <f ca="1">YEAR(TODAY())-Fact_Table[[#This Row],[Commissioned_Year]]</f>
        <v>36</v>
      </c>
      <c r="W62" s="40" cm="1">
        <f t="array" ref="W62">_xlfn.XLOOKUP(Fact_Table[[#This Row],[Commissioned_Year]],cost_table[[#All],[Year]],cost_table[[#All],[Average_Crude_Price_USD_per_Barrel]],"0")</f>
        <v>18.2</v>
      </c>
      <c r="X62" s="40">
        <f>Fact_Table[[#This Row],[Capacity_BPD]]*Fact_Table[[#This Row],[cost per barrel]]</f>
        <v>12538526</v>
      </c>
    </row>
    <row r="63" spans="1:24" x14ac:dyDescent="0.35">
      <c r="A63" t="s">
        <v>18</v>
      </c>
      <c r="B63" t="s">
        <v>25</v>
      </c>
      <c r="C63" t="s">
        <v>15</v>
      </c>
      <c r="D63" s="5">
        <v>218826</v>
      </c>
      <c r="E63" s="5">
        <v>2015</v>
      </c>
      <c r="F63" s="5">
        <v>640</v>
      </c>
      <c r="G63" s="3" t="s">
        <v>16</v>
      </c>
      <c r="H63" s="4">
        <v>8.6</v>
      </c>
      <c r="I63" s="4">
        <v>9.89</v>
      </c>
      <c r="J63" s="5">
        <v>80293</v>
      </c>
      <c r="K63" s="5">
        <v>91424</v>
      </c>
      <c r="L63" s="5">
        <v>47108</v>
      </c>
      <c r="M63" s="3" t="s">
        <v>38</v>
      </c>
      <c r="N63" s="10">
        <v>14819</v>
      </c>
      <c r="O63" s="12">
        <f>(Fact_Table[[#This Row],[Petrol_Output_BPD]]+Fact_Table[[#This Row],[Diesel_Output_BPD]]+Fact_Table[[#This Row],[Gas_Output_BPD]])/Fact_Table[[#This Row],[No_of_Employees]]</f>
        <v>341.9140625</v>
      </c>
      <c r="P63" s="2" t="str">
        <f>IF(Fact_Table[[#This Row],[0/P Producyivity/Day]]&gt;=1000,"High",IF(Fact_Table[[#This Row],[0/P Producyivity/Day]]&gt;=500,"Medium","Low"))</f>
        <v>Low</v>
      </c>
      <c r="Q63" s="10">
        <f>Fact_Table[[#This Row],[Capacity_BPD]]/Fact_Table[[#This Row],[Average_Salary_AED]]</f>
        <v>14.766583440178149</v>
      </c>
      <c r="R63" s="15">
        <f>(Fact_Table[[#This Row],[Petrol_Output_BPD]]/Fact_Table[[#This Row],[Capacity_BPD]])</f>
        <v>0.36692623362854504</v>
      </c>
      <c r="S63" s="15">
        <f>Fact_Table[[#This Row],[Diesel_Output_BPD]]/Fact_Table[[#This Row],[Capacity_BPD]]</f>
        <v>0.41779313244312832</v>
      </c>
      <c r="T63" s="15">
        <f>Fact_Table[[#This Row],[Gas_Output_BPD]]/Fact_Table[[#This Row],[Capacity_BPD]]</f>
        <v>0.21527606408744848</v>
      </c>
      <c r="U63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63" s="8">
        <f ca="1">YEAR(TODAY())-Fact_Table[[#This Row],[Commissioned_Year]]</f>
        <v>10</v>
      </c>
      <c r="W63" s="40" cm="1">
        <f t="array" ref="W63">_xlfn.XLOOKUP(Fact_Table[[#This Row],[Commissioned_Year]],cost_table[[#All],[Year]],cost_table[[#All],[Average_Crude_Price_USD_per_Barrel]],"0")</f>
        <v>43.7</v>
      </c>
      <c r="X63" s="40">
        <f>Fact_Table[[#This Row],[Capacity_BPD]]*Fact_Table[[#This Row],[cost per barrel]]</f>
        <v>9562696.2000000011</v>
      </c>
    </row>
    <row r="64" spans="1:24" x14ac:dyDescent="0.35">
      <c r="A64" t="s">
        <v>30</v>
      </c>
      <c r="B64" t="s">
        <v>41</v>
      </c>
      <c r="C64" t="s">
        <v>50</v>
      </c>
      <c r="D64" s="5">
        <v>288578</v>
      </c>
      <c r="E64" s="5">
        <v>2020</v>
      </c>
      <c r="F64" s="5">
        <v>301</v>
      </c>
      <c r="G64" s="3" t="s">
        <v>16</v>
      </c>
      <c r="H64" s="4">
        <v>15.56</v>
      </c>
      <c r="I64" s="4">
        <v>5.35</v>
      </c>
      <c r="J64" s="5">
        <v>87809</v>
      </c>
      <c r="K64" s="5">
        <v>146051</v>
      </c>
      <c r="L64" s="5">
        <v>54716</v>
      </c>
      <c r="M64" s="3" t="s">
        <v>34</v>
      </c>
      <c r="N64" s="10">
        <v>9652</v>
      </c>
      <c r="O64" s="12">
        <f>(Fact_Table[[#This Row],[Petrol_Output_BPD]]+Fact_Table[[#This Row],[Diesel_Output_BPD]]+Fact_Table[[#This Row],[Gas_Output_BPD]])/Fact_Table[[#This Row],[No_of_Employees]]</f>
        <v>958.7242524916943</v>
      </c>
      <c r="P64" s="2" t="str">
        <f>IF(Fact_Table[[#This Row],[0/P Producyivity/Day]]&gt;=1000,"High",IF(Fact_Table[[#This Row],[0/P Producyivity/Day]]&gt;=500,"Medium","Low"))</f>
        <v>Medium</v>
      </c>
      <c r="Q64" s="10">
        <f>Fact_Table[[#This Row],[Capacity_BPD]]/Fact_Table[[#This Row],[Average_Salary_AED]]</f>
        <v>29.898259428097802</v>
      </c>
      <c r="R64" s="15">
        <f>(Fact_Table[[#This Row],[Petrol_Output_BPD]]/Fact_Table[[#This Row],[Capacity_BPD]])</f>
        <v>0.30428168467450739</v>
      </c>
      <c r="S64" s="15">
        <f>Fact_Table[[#This Row],[Diesel_Output_BPD]]/Fact_Table[[#This Row],[Capacity_BPD]]</f>
        <v>0.50610580155105378</v>
      </c>
      <c r="T64" s="15">
        <f>Fact_Table[[#This Row],[Gas_Output_BPD]]/Fact_Table[[#This Row],[Capacity_BPD]]</f>
        <v>0.18960558323919358</v>
      </c>
      <c r="U64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64" s="8">
        <f ca="1">YEAR(TODAY())-Fact_Table[[#This Row],[Commissioned_Year]]</f>
        <v>5</v>
      </c>
      <c r="W64" s="40" cm="1">
        <f t="array" ref="W64">_xlfn.XLOOKUP(Fact_Table[[#This Row],[Commissioned_Year]],cost_table[[#All],[Year]],cost_table[[#All],[Average_Crude_Price_USD_per_Barrel]],"0")</f>
        <v>43.7</v>
      </c>
      <c r="X64" s="40">
        <f>Fact_Table[[#This Row],[Capacity_BPD]]*Fact_Table[[#This Row],[cost per barrel]]</f>
        <v>12610858.600000001</v>
      </c>
    </row>
    <row r="65" spans="1:24" x14ac:dyDescent="0.35">
      <c r="A65" t="s">
        <v>60</v>
      </c>
      <c r="B65" t="s">
        <v>32</v>
      </c>
      <c r="C65" t="s">
        <v>48</v>
      </c>
      <c r="D65" s="5">
        <v>422459</v>
      </c>
      <c r="E65" s="5">
        <v>1994</v>
      </c>
      <c r="F65" s="5">
        <v>2379</v>
      </c>
      <c r="G65" s="3" t="s">
        <v>31</v>
      </c>
      <c r="H65" s="4">
        <v>20.51</v>
      </c>
      <c r="I65" s="4">
        <v>8.44</v>
      </c>
      <c r="J65" s="5">
        <v>144242</v>
      </c>
      <c r="K65" s="5">
        <v>212855</v>
      </c>
      <c r="L65" s="5">
        <v>65360</v>
      </c>
      <c r="M65" s="3" t="s">
        <v>29</v>
      </c>
      <c r="N65" s="10">
        <v>15706</v>
      </c>
      <c r="O65" s="12">
        <f>(Fact_Table[[#This Row],[Petrol_Output_BPD]]+Fact_Table[[#This Row],[Diesel_Output_BPD]]+Fact_Table[[#This Row],[Gas_Output_BPD]])/Fact_Table[[#This Row],[No_of_Employees]]</f>
        <v>177.57755359394704</v>
      </c>
      <c r="P65" s="2" t="str">
        <f>IF(Fact_Table[[#This Row],[0/P Producyivity/Day]]&gt;=1000,"High",IF(Fact_Table[[#This Row],[0/P Producyivity/Day]]&gt;=500,"Medium","Low"))</f>
        <v>Low</v>
      </c>
      <c r="Q65" s="10">
        <f>Fact_Table[[#This Row],[Capacity_BPD]]/Fact_Table[[#This Row],[Average_Salary_AED]]</f>
        <v>26.897937094104165</v>
      </c>
      <c r="R65" s="15">
        <f>(Fact_Table[[#This Row],[Petrol_Output_BPD]]/Fact_Table[[#This Row],[Capacity_BPD]])</f>
        <v>0.34143431670292262</v>
      </c>
      <c r="S65" s="15">
        <f>Fact_Table[[#This Row],[Diesel_Output_BPD]]/Fact_Table[[#This Row],[Capacity_BPD]]</f>
        <v>0.50384771066541367</v>
      </c>
      <c r="T65" s="15">
        <f>Fact_Table[[#This Row],[Gas_Output_BPD]]/Fact_Table[[#This Row],[Capacity_BPD]]</f>
        <v>0.15471323844444076</v>
      </c>
      <c r="U65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65" s="8">
        <f ca="1">YEAR(TODAY())-Fact_Table[[#This Row],[Commissioned_Year]]</f>
        <v>31</v>
      </c>
      <c r="W65" s="40" cm="1">
        <f t="array" ref="W65">_xlfn.XLOOKUP(Fact_Table[[#This Row],[Commissioned_Year]],cost_table[[#All],[Year]],cost_table[[#All],[Average_Crude_Price_USD_per_Barrel]],"0")</f>
        <v>15.9</v>
      </c>
      <c r="X65" s="40">
        <f>Fact_Table[[#This Row],[Capacity_BPD]]*Fact_Table[[#This Row],[cost per barrel]]</f>
        <v>6717098.1000000006</v>
      </c>
    </row>
    <row r="66" spans="1:24" x14ac:dyDescent="0.35">
      <c r="A66" t="s">
        <v>37</v>
      </c>
      <c r="B66" t="s">
        <v>40</v>
      </c>
      <c r="C66" t="s">
        <v>33</v>
      </c>
      <c r="D66" s="5">
        <v>144529</v>
      </c>
      <c r="E66" s="5">
        <v>2018</v>
      </c>
      <c r="F66" s="5">
        <v>1802</v>
      </c>
      <c r="G66" s="3" t="s">
        <v>16</v>
      </c>
      <c r="H66" s="4">
        <v>33.43</v>
      </c>
      <c r="I66" s="4">
        <v>9.99</v>
      </c>
      <c r="J66" s="5">
        <v>41521</v>
      </c>
      <c r="K66" s="5">
        <v>76857</v>
      </c>
      <c r="L66" s="5">
        <v>26150</v>
      </c>
      <c r="M66" s="3" t="s">
        <v>34</v>
      </c>
      <c r="N66" s="10">
        <v>23422</v>
      </c>
      <c r="O66" s="12">
        <f>(Fact_Table[[#This Row],[Petrol_Output_BPD]]+Fact_Table[[#This Row],[Diesel_Output_BPD]]+Fact_Table[[#This Row],[Gas_Output_BPD]])/Fact_Table[[#This Row],[No_of_Employees]]</f>
        <v>80.204217536071027</v>
      </c>
      <c r="P66" s="2" t="str">
        <f>IF(Fact_Table[[#This Row],[0/P Producyivity/Day]]&gt;=1000,"High",IF(Fact_Table[[#This Row],[0/P Producyivity/Day]]&gt;=500,"Medium","Low"))</f>
        <v>Low</v>
      </c>
      <c r="Q66" s="10">
        <f>Fact_Table[[#This Row],[Capacity_BPD]]/Fact_Table[[#This Row],[Average_Salary_AED]]</f>
        <v>6.1706515242080098</v>
      </c>
      <c r="R66" s="15">
        <f>(Fact_Table[[#This Row],[Petrol_Output_BPD]]/Fact_Table[[#This Row],[Capacity_BPD]])</f>
        <v>0.28728490475959845</v>
      </c>
      <c r="S66" s="15">
        <f>Fact_Table[[#This Row],[Diesel_Output_BPD]]/Fact_Table[[#This Row],[Capacity_BPD]]</f>
        <v>0.53177562980439907</v>
      </c>
      <c r="T66" s="15">
        <f>Fact_Table[[#This Row],[Gas_Output_BPD]]/Fact_Table[[#This Row],[Capacity_BPD]]</f>
        <v>0.18093254640937112</v>
      </c>
      <c r="U66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66" s="8">
        <f ca="1">YEAR(TODAY())-Fact_Table[[#This Row],[Commissioned_Year]]</f>
        <v>7</v>
      </c>
      <c r="W66" s="40" cm="1">
        <f t="array" ref="W66">_xlfn.XLOOKUP(Fact_Table[[#This Row],[Commissioned_Year]],cost_table[[#All],[Year]],cost_table[[#All],[Average_Crude_Price_USD_per_Barrel]],"0")</f>
        <v>100.2</v>
      </c>
      <c r="X66" s="40">
        <f>Fact_Table[[#This Row],[Capacity_BPD]]*Fact_Table[[#This Row],[cost per barrel]]</f>
        <v>14481805.800000001</v>
      </c>
    </row>
    <row r="67" spans="1:24" x14ac:dyDescent="0.35">
      <c r="A67" t="s">
        <v>36</v>
      </c>
      <c r="B67" t="s">
        <v>40</v>
      </c>
      <c r="C67" t="s">
        <v>33</v>
      </c>
      <c r="D67" s="5">
        <v>113498</v>
      </c>
      <c r="E67" s="5">
        <v>2016</v>
      </c>
      <c r="F67" s="5">
        <v>860</v>
      </c>
      <c r="G67" s="3" t="s">
        <v>21</v>
      </c>
      <c r="H67" s="4">
        <v>11.6</v>
      </c>
      <c r="I67" s="4">
        <v>7.85</v>
      </c>
      <c r="J67" s="5">
        <v>40504</v>
      </c>
      <c r="K67" s="5">
        <v>47310</v>
      </c>
      <c r="L67" s="5">
        <v>25683</v>
      </c>
      <c r="M67" s="3" t="s">
        <v>23</v>
      </c>
      <c r="N67" s="10">
        <v>17931</v>
      </c>
      <c r="O67" s="12">
        <f>(Fact_Table[[#This Row],[Petrol_Output_BPD]]+Fact_Table[[#This Row],[Diesel_Output_BPD]]+Fact_Table[[#This Row],[Gas_Output_BPD]])/Fact_Table[[#This Row],[No_of_Employees]]</f>
        <v>131.9732558139535</v>
      </c>
      <c r="P67" s="2" t="str">
        <f>IF(Fact_Table[[#This Row],[0/P Producyivity/Day]]&gt;=1000,"High",IF(Fact_Table[[#This Row],[0/P Producyivity/Day]]&gt;=500,"Medium","Low"))</f>
        <v>Low</v>
      </c>
      <c r="Q67" s="10">
        <f>Fact_Table[[#This Row],[Capacity_BPD]]/Fact_Table[[#This Row],[Average_Salary_AED]]</f>
        <v>6.3297083263621658</v>
      </c>
      <c r="R67" s="15">
        <f>(Fact_Table[[#This Row],[Petrol_Output_BPD]]/Fact_Table[[#This Row],[Capacity_BPD]])</f>
        <v>0.35686972457664451</v>
      </c>
      <c r="S67" s="15">
        <f>Fact_Table[[#This Row],[Diesel_Output_BPD]]/Fact_Table[[#This Row],[Capacity_BPD]]</f>
        <v>0.41683553895222825</v>
      </c>
      <c r="T67" s="15">
        <f>Fact_Table[[#This Row],[Gas_Output_BPD]]/Fact_Table[[#This Row],[Capacity_BPD]]</f>
        <v>0.2262859257431849</v>
      </c>
      <c r="U67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67" s="8">
        <f ca="1">YEAR(TODAY())-Fact_Table[[#This Row],[Commissioned_Year]]</f>
        <v>9</v>
      </c>
      <c r="W67" s="40" cm="1">
        <f t="array" ref="W67">_xlfn.XLOOKUP(Fact_Table[[#This Row],[Commissioned_Year]],cost_table[[#All],[Year]],cost_table[[#All],[Average_Crude_Price_USD_per_Barrel]],"0")</f>
        <v>54.2</v>
      </c>
      <c r="X67" s="40">
        <f>Fact_Table[[#This Row],[Capacity_BPD]]*Fact_Table[[#This Row],[cost per barrel]]</f>
        <v>6151591.6000000006</v>
      </c>
    </row>
    <row r="68" spans="1:24" x14ac:dyDescent="0.35">
      <c r="A68" t="s">
        <v>22</v>
      </c>
      <c r="B68" t="s">
        <v>41</v>
      </c>
      <c r="C68" t="s">
        <v>47</v>
      </c>
      <c r="D68" s="5">
        <v>247603</v>
      </c>
      <c r="E68" s="5">
        <v>2000</v>
      </c>
      <c r="F68" s="5">
        <v>1156</v>
      </c>
      <c r="G68" s="3" t="s">
        <v>28</v>
      </c>
      <c r="H68" s="4">
        <v>14.7</v>
      </c>
      <c r="I68" s="4">
        <v>7.75</v>
      </c>
      <c r="J68" s="5">
        <v>94038</v>
      </c>
      <c r="K68" s="5">
        <v>118901</v>
      </c>
      <c r="L68" s="5">
        <v>34662</v>
      </c>
      <c r="M68" s="3" t="s">
        <v>34</v>
      </c>
      <c r="N68" s="10">
        <v>23703</v>
      </c>
      <c r="O68" s="12">
        <f>(Fact_Table[[#This Row],[Petrol_Output_BPD]]+Fact_Table[[#This Row],[Diesel_Output_BPD]]+Fact_Table[[#This Row],[Gas_Output_BPD]])/Fact_Table[[#This Row],[No_of_Employees]]</f>
        <v>214.18771626297578</v>
      </c>
      <c r="P68" s="2" t="str">
        <f>IF(Fact_Table[[#This Row],[0/P Producyivity/Day]]&gt;=1000,"High",IF(Fact_Table[[#This Row],[0/P Producyivity/Day]]&gt;=500,"Medium","Low"))</f>
        <v>Low</v>
      </c>
      <c r="Q68" s="10">
        <f>Fact_Table[[#This Row],[Capacity_BPD]]/Fact_Table[[#This Row],[Average_Salary_AED]]</f>
        <v>10.446061679956124</v>
      </c>
      <c r="R68" s="15">
        <f>(Fact_Table[[#This Row],[Petrol_Output_BPD]]/Fact_Table[[#This Row],[Capacity_BPD]])</f>
        <v>0.37979345969152234</v>
      </c>
      <c r="S68" s="15">
        <f>Fact_Table[[#This Row],[Diesel_Output_BPD]]/Fact_Table[[#This Row],[Capacity_BPD]]</f>
        <v>0.48020823657225475</v>
      </c>
      <c r="T68" s="15">
        <f>Fact_Table[[#This Row],[Gas_Output_BPD]]/Fact_Table[[#This Row],[Capacity_BPD]]</f>
        <v>0.13999022628966531</v>
      </c>
      <c r="U6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68" s="8">
        <f ca="1">YEAR(TODAY())-Fact_Table[[#This Row],[Commissioned_Year]]</f>
        <v>25</v>
      </c>
      <c r="W68" s="40" cm="1">
        <f t="array" ref="W68">_xlfn.XLOOKUP(Fact_Table[[#This Row],[Commissioned_Year]],cost_table[[#All],[Year]],cost_table[[#All],[Average_Crude_Price_USD_per_Barrel]],"0")</f>
        <v>23.1</v>
      </c>
      <c r="X68" s="40">
        <f>Fact_Table[[#This Row],[Capacity_BPD]]*Fact_Table[[#This Row],[cost per barrel]]</f>
        <v>5719629.3000000007</v>
      </c>
    </row>
    <row r="69" spans="1:24" x14ac:dyDescent="0.35">
      <c r="A69" t="s">
        <v>45</v>
      </c>
      <c r="B69" t="s">
        <v>40</v>
      </c>
      <c r="C69" t="s">
        <v>50</v>
      </c>
      <c r="D69" s="5">
        <v>741045</v>
      </c>
      <c r="E69" s="5">
        <v>1998</v>
      </c>
      <c r="F69" s="5">
        <v>1073</v>
      </c>
      <c r="G69" s="3" t="s">
        <v>31</v>
      </c>
      <c r="H69" s="4">
        <v>10.88</v>
      </c>
      <c r="I69" s="4">
        <v>6.27</v>
      </c>
      <c r="J69" s="5">
        <v>252323</v>
      </c>
      <c r="K69" s="5">
        <v>369067</v>
      </c>
      <c r="L69" s="5">
        <v>119654</v>
      </c>
      <c r="M69" s="3" t="s">
        <v>38</v>
      </c>
      <c r="N69" s="10">
        <v>12168</v>
      </c>
      <c r="O69" s="12">
        <f>(Fact_Table[[#This Row],[Petrol_Output_BPD]]+Fact_Table[[#This Row],[Diesel_Output_BPD]]+Fact_Table[[#This Row],[Gas_Output_BPD]])/Fact_Table[[#This Row],[No_of_Employees]]</f>
        <v>690.62814538676605</v>
      </c>
      <c r="P69" s="2" t="str">
        <f>IF(Fact_Table[[#This Row],[0/P Producyivity/Day]]&gt;=1000,"High",IF(Fact_Table[[#This Row],[0/P Producyivity/Day]]&gt;=500,"Medium","Low"))</f>
        <v>Medium</v>
      </c>
      <c r="Q69" s="10">
        <f>Fact_Table[[#This Row],[Capacity_BPD]]/Fact_Table[[#This Row],[Average_Salary_AED]]</f>
        <v>60.901134122287971</v>
      </c>
      <c r="R69" s="15">
        <f>(Fact_Table[[#This Row],[Petrol_Output_BPD]]/Fact_Table[[#This Row],[Capacity_BPD]])</f>
        <v>0.34049619118946894</v>
      </c>
      <c r="S69" s="15">
        <f>Fact_Table[[#This Row],[Diesel_Output_BPD]]/Fact_Table[[#This Row],[Capacity_BPD]]</f>
        <v>0.49803588176156643</v>
      </c>
      <c r="T69" s="15">
        <f>Fact_Table[[#This Row],[Gas_Output_BPD]]/Fact_Table[[#This Row],[Capacity_BPD]]</f>
        <v>0.16146657760324948</v>
      </c>
      <c r="U69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69" s="8">
        <f ca="1">YEAR(TODAY())-Fact_Table[[#This Row],[Commissioned_Year]]</f>
        <v>27</v>
      </c>
      <c r="W69" s="40" cm="1">
        <f t="array" ref="W69">_xlfn.XLOOKUP(Fact_Table[[#This Row],[Commissioned_Year]],cost_table[[#All],[Year]],cost_table[[#All],[Average_Crude_Price_USD_per_Barrel]],"0")</f>
        <v>12.8</v>
      </c>
      <c r="X69" s="40">
        <f>Fact_Table[[#This Row],[Capacity_BPD]]*Fact_Table[[#This Row],[cost per barrel]]</f>
        <v>9485376</v>
      </c>
    </row>
    <row r="70" spans="1:24" x14ac:dyDescent="0.35">
      <c r="A70" t="s">
        <v>60</v>
      </c>
      <c r="B70" t="s">
        <v>32</v>
      </c>
      <c r="C70" t="s">
        <v>39</v>
      </c>
      <c r="D70" s="5">
        <v>517684</v>
      </c>
      <c r="E70" s="5">
        <v>2001</v>
      </c>
      <c r="F70" s="5">
        <v>1043</v>
      </c>
      <c r="G70" s="3" t="s">
        <v>31</v>
      </c>
      <c r="H70" s="4">
        <v>23.98</v>
      </c>
      <c r="I70" s="4">
        <v>9.9</v>
      </c>
      <c r="J70" s="5">
        <v>205113</v>
      </c>
      <c r="K70" s="5">
        <v>192392</v>
      </c>
      <c r="L70" s="5">
        <v>120178</v>
      </c>
      <c r="M70" s="3" t="s">
        <v>29</v>
      </c>
      <c r="N70" s="10">
        <v>10591</v>
      </c>
      <c r="O70" s="12">
        <f>(Fact_Table[[#This Row],[Petrol_Output_BPD]]+Fact_Table[[#This Row],[Diesel_Output_BPD]]+Fact_Table[[#This Row],[Gas_Output_BPD]])/Fact_Table[[#This Row],[No_of_Employees]]</f>
        <v>496.34036433365293</v>
      </c>
      <c r="P70" s="2" t="str">
        <f>IF(Fact_Table[[#This Row],[0/P Producyivity/Day]]&gt;=1000,"High",IF(Fact_Table[[#This Row],[0/P Producyivity/Day]]&gt;=500,"Medium","Low"))</f>
        <v>Low</v>
      </c>
      <c r="Q70" s="10">
        <f>Fact_Table[[#This Row],[Capacity_BPD]]/Fact_Table[[#This Row],[Average_Salary_AED]]</f>
        <v>48.879614767255219</v>
      </c>
      <c r="R70" s="15">
        <f>(Fact_Table[[#This Row],[Petrol_Output_BPD]]/Fact_Table[[#This Row],[Capacity_BPD]])</f>
        <v>0.39621274754483432</v>
      </c>
      <c r="S70" s="15">
        <f>Fact_Table[[#This Row],[Diesel_Output_BPD]]/Fact_Table[[#This Row],[Capacity_BPD]]</f>
        <v>0.37163984206581624</v>
      </c>
      <c r="T70" s="15">
        <f>Fact_Table[[#This Row],[Gas_Output_BPD]]/Fact_Table[[#This Row],[Capacity_BPD]]</f>
        <v>0.23214547870901941</v>
      </c>
      <c r="U70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70" s="8">
        <f ca="1">YEAR(TODAY())-Fact_Table[[#This Row],[Commissioned_Year]]</f>
        <v>24</v>
      </c>
      <c r="W70" s="40" cm="1">
        <f t="array" ref="W70">_xlfn.XLOOKUP(Fact_Table[[#This Row],[Commissioned_Year]],cost_table[[#All],[Year]],cost_table[[#All],[Average_Crude_Price_USD_per_Barrel]],"0")</f>
        <v>28.4</v>
      </c>
      <c r="X70" s="40">
        <f>Fact_Table[[#This Row],[Capacity_BPD]]*Fact_Table[[#This Row],[cost per barrel]]</f>
        <v>14702225.6</v>
      </c>
    </row>
    <row r="71" spans="1:24" x14ac:dyDescent="0.35">
      <c r="A71" t="s">
        <v>60</v>
      </c>
      <c r="B71" t="s">
        <v>40</v>
      </c>
      <c r="C71" t="s">
        <v>33</v>
      </c>
      <c r="D71" s="5">
        <v>522602</v>
      </c>
      <c r="E71" s="5">
        <v>1985</v>
      </c>
      <c r="F71" s="5">
        <v>1742</v>
      </c>
      <c r="G71" s="3" t="s">
        <v>21</v>
      </c>
      <c r="H71" s="4">
        <v>23.75</v>
      </c>
      <c r="I71" s="4">
        <v>5.99</v>
      </c>
      <c r="J71" s="5">
        <v>214054</v>
      </c>
      <c r="K71" s="5">
        <v>222857</v>
      </c>
      <c r="L71" s="5">
        <v>85689</v>
      </c>
      <c r="M71" s="3" t="s">
        <v>17</v>
      </c>
      <c r="N71" s="10">
        <v>17768</v>
      </c>
      <c r="O71" s="12">
        <f>(Fact_Table[[#This Row],[Petrol_Output_BPD]]+Fact_Table[[#This Row],[Diesel_Output_BPD]]+Fact_Table[[#This Row],[Gas_Output_BPD]])/Fact_Table[[#This Row],[No_of_Employees]]</f>
        <v>300</v>
      </c>
      <c r="P71" s="2" t="str">
        <f>IF(Fact_Table[[#This Row],[0/P Producyivity/Day]]&gt;=1000,"High",IF(Fact_Table[[#This Row],[0/P Producyivity/Day]]&gt;=500,"Medium","Low"))</f>
        <v>Low</v>
      </c>
      <c r="Q71" s="10">
        <f>Fact_Table[[#This Row],[Capacity_BPD]]/Fact_Table[[#This Row],[Average_Salary_AED]]</f>
        <v>29.412539396668169</v>
      </c>
      <c r="R71" s="15">
        <f>(Fact_Table[[#This Row],[Petrol_Output_BPD]]/Fact_Table[[#This Row],[Capacity_BPD]])</f>
        <v>0.4095927684930406</v>
      </c>
      <c r="S71" s="15">
        <f>Fact_Table[[#This Row],[Diesel_Output_BPD]]/Fact_Table[[#This Row],[Capacity_BPD]]</f>
        <v>0.42643732706725196</v>
      </c>
      <c r="T71" s="15">
        <f>Fact_Table[[#This Row],[Gas_Output_BPD]]/Fact_Table[[#This Row],[Capacity_BPD]]</f>
        <v>0.1639660774356011</v>
      </c>
      <c r="U7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71" s="8">
        <f ca="1">YEAR(TODAY())-Fact_Table[[#This Row],[Commissioned_Year]]</f>
        <v>40</v>
      </c>
      <c r="W71" s="40" cm="1">
        <f t="array" ref="W71">_xlfn.XLOOKUP(Fact_Table[[#This Row],[Commissioned_Year]],cost_table[[#All],[Year]],cost_table[[#All],[Average_Crude_Price_USD_per_Barrel]],"0")</f>
        <v>26</v>
      </c>
      <c r="X71" s="40">
        <f>Fact_Table[[#This Row],[Capacity_BPD]]*Fact_Table[[#This Row],[cost per barrel]]</f>
        <v>13587652</v>
      </c>
    </row>
    <row r="72" spans="1:24" x14ac:dyDescent="0.35">
      <c r="A72" t="s">
        <v>22</v>
      </c>
      <c r="B72" t="s">
        <v>40</v>
      </c>
      <c r="C72" t="s">
        <v>39</v>
      </c>
      <c r="D72" s="5">
        <v>175064</v>
      </c>
      <c r="E72" s="5">
        <v>1987</v>
      </c>
      <c r="F72" s="5">
        <v>622</v>
      </c>
      <c r="G72" s="3" t="s">
        <v>28</v>
      </c>
      <c r="H72" s="4">
        <v>33.18</v>
      </c>
      <c r="I72" s="4">
        <v>7.87</v>
      </c>
      <c r="J72" s="5">
        <v>71772</v>
      </c>
      <c r="K72" s="5">
        <v>63156</v>
      </c>
      <c r="L72" s="5">
        <v>40134</v>
      </c>
      <c r="M72" s="3" t="s">
        <v>34</v>
      </c>
      <c r="N72" s="10">
        <v>15215</v>
      </c>
      <c r="O72" s="12">
        <f>(Fact_Table[[#This Row],[Petrol_Output_BPD]]+Fact_Table[[#This Row],[Diesel_Output_BPD]]+Fact_Table[[#This Row],[Gas_Output_BPD]])/Fact_Table[[#This Row],[No_of_Employees]]</f>
        <v>281.45016077170419</v>
      </c>
      <c r="P72" s="2" t="str">
        <f>IF(Fact_Table[[#This Row],[0/P Producyivity/Day]]&gt;=1000,"High",IF(Fact_Table[[#This Row],[0/P Producyivity/Day]]&gt;=500,"Medium","Low"))</f>
        <v>Low</v>
      </c>
      <c r="Q72" s="10">
        <f>Fact_Table[[#This Row],[Capacity_BPD]]/Fact_Table[[#This Row],[Average_Salary_AED]]</f>
        <v>11.506013802168912</v>
      </c>
      <c r="R72" s="15">
        <f>(Fact_Table[[#This Row],[Petrol_Output_BPD]]/Fact_Table[[#This Row],[Capacity_BPD]])</f>
        <v>0.40997578028606679</v>
      </c>
      <c r="S72" s="15">
        <f>Fact_Table[[#This Row],[Diesel_Output_BPD]]/Fact_Table[[#This Row],[Capacity_BPD]]</f>
        <v>0.36075949367088606</v>
      </c>
      <c r="T72" s="15">
        <f>Fact_Table[[#This Row],[Gas_Output_BPD]]/Fact_Table[[#This Row],[Capacity_BPD]]</f>
        <v>0.22925330164968241</v>
      </c>
      <c r="U7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72" s="8">
        <f ca="1">YEAR(TODAY())-Fact_Table[[#This Row],[Commissioned_Year]]</f>
        <v>38</v>
      </c>
      <c r="W72" s="40" cm="1">
        <f t="array" ref="W72">_xlfn.XLOOKUP(Fact_Table[[#This Row],[Commissioned_Year]],cost_table[[#All],[Year]],cost_table[[#All],[Average_Crude_Price_USD_per_Barrel]],"0")</f>
        <v>18.399999999999999</v>
      </c>
      <c r="X72" s="40">
        <f>Fact_Table[[#This Row],[Capacity_BPD]]*Fact_Table[[#This Row],[cost per barrel]]</f>
        <v>3221177.5999999996</v>
      </c>
    </row>
    <row r="73" spans="1:24" x14ac:dyDescent="0.35">
      <c r="A73" t="s">
        <v>27</v>
      </c>
      <c r="B73" t="s">
        <v>32</v>
      </c>
      <c r="C73" t="s">
        <v>39</v>
      </c>
      <c r="D73" s="5">
        <v>855564</v>
      </c>
      <c r="E73" s="5">
        <v>2018</v>
      </c>
      <c r="F73" s="5">
        <v>506</v>
      </c>
      <c r="G73" s="3" t="s">
        <v>16</v>
      </c>
      <c r="H73" s="4">
        <v>7.86</v>
      </c>
      <c r="I73" s="4">
        <v>8.99</v>
      </c>
      <c r="J73" s="5">
        <v>293560</v>
      </c>
      <c r="K73" s="5">
        <v>405671</v>
      </c>
      <c r="L73" s="5">
        <v>156332</v>
      </c>
      <c r="M73" s="3" t="s">
        <v>17</v>
      </c>
      <c r="N73" s="10">
        <v>9552</v>
      </c>
      <c r="O73" s="12">
        <f>(Fact_Table[[#This Row],[Petrol_Output_BPD]]+Fact_Table[[#This Row],[Diesel_Output_BPD]]+Fact_Table[[#This Row],[Gas_Output_BPD]])/Fact_Table[[#This Row],[No_of_Employees]]</f>
        <v>1690.8359683794467</v>
      </c>
      <c r="P73" s="2" t="str">
        <f>IF(Fact_Table[[#This Row],[0/P Producyivity/Day]]&gt;=1000,"High",IF(Fact_Table[[#This Row],[0/P Producyivity/Day]]&gt;=500,"Medium","Low"))</f>
        <v>High</v>
      </c>
      <c r="Q73" s="10">
        <f>Fact_Table[[#This Row],[Capacity_BPD]]/Fact_Table[[#This Row],[Average_Salary_AED]]</f>
        <v>89.569095477386938</v>
      </c>
      <c r="R73" s="15">
        <f>(Fact_Table[[#This Row],[Petrol_Output_BPD]]/Fact_Table[[#This Row],[Capacity_BPD]])</f>
        <v>0.34311869129603395</v>
      </c>
      <c r="S73" s="15">
        <f>Fact_Table[[#This Row],[Diesel_Output_BPD]]/Fact_Table[[#This Row],[Capacity_BPD]]</f>
        <v>0.47415622910734906</v>
      </c>
      <c r="T73" s="15">
        <f>Fact_Table[[#This Row],[Gas_Output_BPD]]/Fact_Table[[#This Row],[Capacity_BPD]]</f>
        <v>0.18272391077698455</v>
      </c>
      <c r="U73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73" s="8">
        <f ca="1">YEAR(TODAY())-Fact_Table[[#This Row],[Commissioned_Year]]</f>
        <v>7</v>
      </c>
      <c r="W73" s="40" cm="1">
        <f t="array" ref="W73">_xlfn.XLOOKUP(Fact_Table[[#This Row],[Commissioned_Year]],cost_table[[#All],[Year]],cost_table[[#All],[Average_Crude_Price_USD_per_Barrel]],"0")</f>
        <v>100.2</v>
      </c>
      <c r="X73" s="40">
        <f>Fact_Table[[#This Row],[Capacity_BPD]]*Fact_Table[[#This Row],[cost per barrel]]</f>
        <v>85727512.799999997</v>
      </c>
    </row>
    <row r="74" spans="1:24" x14ac:dyDescent="0.35">
      <c r="A74" t="s">
        <v>18</v>
      </c>
      <c r="B74" t="s">
        <v>14</v>
      </c>
      <c r="C74" t="s">
        <v>47</v>
      </c>
      <c r="D74" s="5">
        <v>423026</v>
      </c>
      <c r="E74" s="5">
        <v>2005</v>
      </c>
      <c r="F74" s="5">
        <v>2258</v>
      </c>
      <c r="G74" s="3" t="s">
        <v>16</v>
      </c>
      <c r="H74" s="4">
        <v>4.3499999999999996</v>
      </c>
      <c r="I74" s="4">
        <v>6.03</v>
      </c>
      <c r="J74" s="5">
        <v>167636</v>
      </c>
      <c r="K74" s="5">
        <v>192021</v>
      </c>
      <c r="L74" s="5">
        <v>63367</v>
      </c>
      <c r="M74" s="3" t="s">
        <v>17</v>
      </c>
      <c r="N74" s="10">
        <v>17697</v>
      </c>
      <c r="O74" s="12">
        <f>(Fact_Table[[#This Row],[Petrol_Output_BPD]]+Fact_Table[[#This Row],[Diesel_Output_BPD]]+Fact_Table[[#This Row],[Gas_Output_BPD]])/Fact_Table[[#This Row],[No_of_Employees]]</f>
        <v>187.34455270150576</v>
      </c>
      <c r="P74" s="2" t="str">
        <f>IF(Fact_Table[[#This Row],[0/P Producyivity/Day]]&gt;=1000,"High",IF(Fact_Table[[#This Row],[0/P Producyivity/Day]]&gt;=500,"Medium","Low"))</f>
        <v>Low</v>
      </c>
      <c r="Q74" s="10">
        <f>Fact_Table[[#This Row],[Capacity_BPD]]/Fact_Table[[#This Row],[Average_Salary_AED]]</f>
        <v>23.903825507148103</v>
      </c>
      <c r="R74" s="15">
        <f>(Fact_Table[[#This Row],[Petrol_Output_BPD]]/Fact_Table[[#This Row],[Capacity_BPD]])</f>
        <v>0.39627824294487807</v>
      </c>
      <c r="S74" s="15">
        <f>Fact_Table[[#This Row],[Diesel_Output_BPD]]/Fact_Table[[#This Row],[Capacity_BPD]]</f>
        <v>0.45392245393900138</v>
      </c>
      <c r="T74" s="15">
        <f>Fact_Table[[#This Row],[Gas_Output_BPD]]/Fact_Table[[#This Row],[Capacity_BPD]]</f>
        <v>0.14979457527433301</v>
      </c>
      <c r="U74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74" s="8">
        <f ca="1">YEAR(TODAY())-Fact_Table[[#This Row],[Commissioned_Year]]</f>
        <v>20</v>
      </c>
      <c r="W74" s="40" cm="1">
        <f t="array" ref="W74">_xlfn.XLOOKUP(Fact_Table[[#This Row],[Commissioned_Year]],cost_table[[#All],[Year]],cost_table[[#All],[Average_Crude_Price_USD_per_Barrel]],"0")</f>
        <v>25</v>
      </c>
      <c r="X74" s="40">
        <f>Fact_Table[[#This Row],[Capacity_BPD]]*Fact_Table[[#This Row],[cost per barrel]]</f>
        <v>10575650</v>
      </c>
    </row>
    <row r="75" spans="1:24" x14ac:dyDescent="0.35">
      <c r="A75" t="s">
        <v>30</v>
      </c>
      <c r="B75" t="s">
        <v>41</v>
      </c>
      <c r="C75" t="s">
        <v>33</v>
      </c>
      <c r="D75" s="5">
        <v>466985</v>
      </c>
      <c r="E75" s="5">
        <v>1994</v>
      </c>
      <c r="F75" s="5">
        <v>1548</v>
      </c>
      <c r="G75" s="3" t="s">
        <v>16</v>
      </c>
      <c r="H75" s="4">
        <v>17.45</v>
      </c>
      <c r="I75" s="4">
        <v>6.18</v>
      </c>
      <c r="J75" s="5">
        <v>168835</v>
      </c>
      <c r="K75" s="5">
        <v>194945</v>
      </c>
      <c r="L75" s="5">
        <v>103203</v>
      </c>
      <c r="M75" s="3" t="s">
        <v>34</v>
      </c>
      <c r="N75" s="10">
        <v>17812</v>
      </c>
      <c r="O75" s="12">
        <f>(Fact_Table[[#This Row],[Petrol_Output_BPD]]+Fact_Table[[#This Row],[Diesel_Output_BPD]]+Fact_Table[[#This Row],[Gas_Output_BPD]])/Fact_Table[[#This Row],[No_of_Employees]]</f>
        <v>301.66860465116281</v>
      </c>
      <c r="P75" s="2" t="str">
        <f>IF(Fact_Table[[#This Row],[0/P Producyivity/Day]]&gt;=1000,"High",IF(Fact_Table[[#This Row],[0/P Producyivity/Day]]&gt;=500,"Medium","Low"))</f>
        <v>Low</v>
      </c>
      <c r="Q75" s="10">
        <f>Fact_Table[[#This Row],[Capacity_BPD]]/Fact_Table[[#This Row],[Average_Salary_AED]]</f>
        <v>26.217437682461263</v>
      </c>
      <c r="R75" s="15">
        <f>(Fact_Table[[#This Row],[Petrol_Output_BPD]]/Fact_Table[[#This Row],[Capacity_BPD]])</f>
        <v>0.36154266196987056</v>
      </c>
      <c r="S75" s="15">
        <f>Fact_Table[[#This Row],[Diesel_Output_BPD]]/Fact_Table[[#This Row],[Capacity_BPD]]</f>
        <v>0.41745452209385742</v>
      </c>
      <c r="T75" s="15">
        <f>Fact_Table[[#This Row],[Gas_Output_BPD]]/Fact_Table[[#This Row],[Capacity_BPD]]</f>
        <v>0.22099853314346285</v>
      </c>
      <c r="U75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75" s="8">
        <f ca="1">YEAR(TODAY())-Fact_Table[[#This Row],[Commissioned_Year]]</f>
        <v>31</v>
      </c>
      <c r="W75" s="40" cm="1">
        <f t="array" ref="W75">_xlfn.XLOOKUP(Fact_Table[[#This Row],[Commissioned_Year]],cost_table[[#All],[Year]],cost_table[[#All],[Average_Crude_Price_USD_per_Barrel]],"0")</f>
        <v>15.9</v>
      </c>
      <c r="X75" s="40">
        <f>Fact_Table[[#This Row],[Capacity_BPD]]*Fact_Table[[#This Row],[cost per barrel]]</f>
        <v>7425061.5</v>
      </c>
    </row>
    <row r="76" spans="1:24" x14ac:dyDescent="0.35">
      <c r="A76" t="s">
        <v>37</v>
      </c>
      <c r="B76" t="s">
        <v>26</v>
      </c>
      <c r="C76" t="s">
        <v>47</v>
      </c>
      <c r="D76" s="5">
        <v>154962</v>
      </c>
      <c r="E76" s="5">
        <v>2015</v>
      </c>
      <c r="F76" s="5">
        <v>2167</v>
      </c>
      <c r="G76" s="3" t="s">
        <v>21</v>
      </c>
      <c r="H76" s="4">
        <v>31.74</v>
      </c>
      <c r="I76" s="4">
        <v>8.89</v>
      </c>
      <c r="J76" s="5">
        <v>53174</v>
      </c>
      <c r="K76" s="5">
        <v>66532</v>
      </c>
      <c r="L76" s="5">
        <v>35255</v>
      </c>
      <c r="M76" s="3" t="s">
        <v>34</v>
      </c>
      <c r="N76" s="10">
        <v>19165</v>
      </c>
      <c r="O76" s="12">
        <f>(Fact_Table[[#This Row],[Petrol_Output_BPD]]+Fact_Table[[#This Row],[Diesel_Output_BPD]]+Fact_Table[[#This Row],[Gas_Output_BPD]])/Fact_Table[[#This Row],[No_of_Employees]]</f>
        <v>71.509460083064141</v>
      </c>
      <c r="P76" s="2" t="str">
        <f>IF(Fact_Table[[#This Row],[0/P Producyivity/Day]]&gt;=1000,"High",IF(Fact_Table[[#This Row],[0/P Producyivity/Day]]&gt;=500,"Medium","Low"))</f>
        <v>Low</v>
      </c>
      <c r="Q76" s="10">
        <f>Fact_Table[[#This Row],[Capacity_BPD]]/Fact_Table[[#This Row],[Average_Salary_AED]]</f>
        <v>8.0856770153926423</v>
      </c>
      <c r="R76" s="15">
        <f>(Fact_Table[[#This Row],[Petrol_Output_BPD]]/Fact_Table[[#This Row],[Capacity_BPD]])</f>
        <v>0.34314218969811955</v>
      </c>
      <c r="S76" s="15">
        <f>Fact_Table[[#This Row],[Diesel_Output_BPD]]/Fact_Table[[#This Row],[Capacity_BPD]]</f>
        <v>0.42934396819865517</v>
      </c>
      <c r="T76" s="15">
        <f>Fact_Table[[#This Row],[Gas_Output_BPD]]/Fact_Table[[#This Row],[Capacity_BPD]]</f>
        <v>0.22750738890824848</v>
      </c>
      <c r="U76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76" s="8">
        <f ca="1">YEAR(TODAY())-Fact_Table[[#This Row],[Commissioned_Year]]</f>
        <v>10</v>
      </c>
      <c r="W76" s="40" cm="1">
        <f t="array" ref="W76">_xlfn.XLOOKUP(Fact_Table[[#This Row],[Commissioned_Year]],cost_table[[#All],[Year]],cost_table[[#All],[Average_Crude_Price_USD_per_Barrel]],"0")</f>
        <v>43.7</v>
      </c>
      <c r="X76" s="40">
        <f>Fact_Table[[#This Row],[Capacity_BPD]]*Fact_Table[[#This Row],[cost per barrel]]</f>
        <v>6771839.4000000004</v>
      </c>
    </row>
    <row r="77" spans="1:24" x14ac:dyDescent="0.35">
      <c r="A77" t="s">
        <v>36</v>
      </c>
      <c r="B77" t="s">
        <v>40</v>
      </c>
      <c r="C77" t="s">
        <v>20</v>
      </c>
      <c r="D77" s="5">
        <v>461929</v>
      </c>
      <c r="E77" s="5">
        <v>2020</v>
      </c>
      <c r="F77" s="5">
        <v>723</v>
      </c>
      <c r="G77" s="3" t="s">
        <v>28</v>
      </c>
      <c r="H77" s="4">
        <v>11.04</v>
      </c>
      <c r="I77" s="4">
        <v>7.84</v>
      </c>
      <c r="J77" s="5">
        <v>193493</v>
      </c>
      <c r="K77" s="5">
        <v>198864</v>
      </c>
      <c r="L77" s="5">
        <v>69570</v>
      </c>
      <c r="M77" s="3" t="s">
        <v>34</v>
      </c>
      <c r="N77" s="10">
        <v>8489</v>
      </c>
      <c r="O77" s="12">
        <f>(Fact_Table[[#This Row],[Petrol_Output_BPD]]+Fact_Table[[#This Row],[Diesel_Output_BPD]]+Fact_Table[[#This Row],[Gas_Output_BPD]])/Fact_Table[[#This Row],[No_of_Employees]]</f>
        <v>638.90318118948824</v>
      </c>
      <c r="P77" s="2" t="str">
        <f>IF(Fact_Table[[#This Row],[0/P Producyivity/Day]]&gt;=1000,"High",IF(Fact_Table[[#This Row],[0/P Producyivity/Day]]&gt;=500,"Medium","Low"))</f>
        <v>Medium</v>
      </c>
      <c r="Q77" s="10">
        <f>Fact_Table[[#This Row],[Capacity_BPD]]/Fact_Table[[#This Row],[Average_Salary_AED]]</f>
        <v>54.415007656967838</v>
      </c>
      <c r="R77" s="15">
        <f>(Fact_Table[[#This Row],[Petrol_Output_BPD]]/Fact_Table[[#This Row],[Capacity_BPD]])</f>
        <v>0.41888039070939476</v>
      </c>
      <c r="S77" s="15">
        <f>Fact_Table[[#This Row],[Diesel_Output_BPD]]/Fact_Table[[#This Row],[Capacity_BPD]]</f>
        <v>0.43050771871867755</v>
      </c>
      <c r="T77" s="15">
        <f>Fact_Table[[#This Row],[Gas_Output_BPD]]/Fact_Table[[#This Row],[Capacity_BPD]]</f>
        <v>0.15060756090221658</v>
      </c>
      <c r="U77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77" s="8">
        <f ca="1">YEAR(TODAY())-Fact_Table[[#This Row],[Commissioned_Year]]</f>
        <v>5</v>
      </c>
      <c r="W77" s="40" cm="1">
        <f t="array" ref="W77">_xlfn.XLOOKUP(Fact_Table[[#This Row],[Commissioned_Year]],cost_table[[#All],[Year]],cost_table[[#All],[Average_Crude_Price_USD_per_Barrel]],"0")</f>
        <v>43.7</v>
      </c>
      <c r="X77" s="40">
        <f>Fact_Table[[#This Row],[Capacity_BPD]]*Fact_Table[[#This Row],[cost per barrel]]</f>
        <v>20186297.300000001</v>
      </c>
    </row>
    <row r="78" spans="1:24" x14ac:dyDescent="0.35">
      <c r="A78" t="s">
        <v>36</v>
      </c>
      <c r="B78" t="s">
        <v>40</v>
      </c>
      <c r="C78" t="s">
        <v>48</v>
      </c>
      <c r="D78" s="5">
        <v>129639</v>
      </c>
      <c r="E78" s="5">
        <v>2009</v>
      </c>
      <c r="F78" s="5">
        <v>1490</v>
      </c>
      <c r="G78" s="3" t="s">
        <v>21</v>
      </c>
      <c r="H78" s="4">
        <v>13.63</v>
      </c>
      <c r="I78" s="4">
        <v>7.67</v>
      </c>
      <c r="J78" s="5">
        <v>59387</v>
      </c>
      <c r="K78" s="5">
        <v>56118</v>
      </c>
      <c r="L78" s="5">
        <v>14133</v>
      </c>
      <c r="M78" s="3" t="s">
        <v>17</v>
      </c>
      <c r="N78" s="10">
        <v>16241</v>
      </c>
      <c r="O78" s="12">
        <f>(Fact_Table[[#This Row],[Petrol_Output_BPD]]+Fact_Table[[#This Row],[Diesel_Output_BPD]]+Fact_Table[[#This Row],[Gas_Output_BPD]])/Fact_Table[[#This Row],[No_of_Employees]]</f>
        <v>87.005369127516772</v>
      </c>
      <c r="P78" s="2" t="str">
        <f>IF(Fact_Table[[#This Row],[0/P Producyivity/Day]]&gt;=1000,"High",IF(Fact_Table[[#This Row],[0/P Producyivity/Day]]&gt;=500,"Medium","Low"))</f>
        <v>Low</v>
      </c>
      <c r="Q78" s="10">
        <f>Fact_Table[[#This Row],[Capacity_BPD]]/Fact_Table[[#This Row],[Average_Salary_AED]]</f>
        <v>7.9822055292161815</v>
      </c>
      <c r="R78" s="15">
        <f>(Fact_Table[[#This Row],[Petrol_Output_BPD]]/Fact_Table[[#This Row],[Capacity_BPD]])</f>
        <v>0.45809517197756849</v>
      </c>
      <c r="S78" s="15">
        <f>Fact_Table[[#This Row],[Diesel_Output_BPD]]/Fact_Table[[#This Row],[Capacity_BPD]]</f>
        <v>0.43287899474695113</v>
      </c>
      <c r="T78" s="15">
        <f>Fact_Table[[#This Row],[Gas_Output_BPD]]/Fact_Table[[#This Row],[Capacity_BPD]]</f>
        <v>0.10901811954735843</v>
      </c>
      <c r="U7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78" s="8">
        <f ca="1">YEAR(TODAY())-Fact_Table[[#This Row],[Commissioned_Year]]</f>
        <v>16</v>
      </c>
      <c r="W78" s="40" cm="1">
        <f t="array" ref="W78">_xlfn.XLOOKUP(Fact_Table[[#This Row],[Commissioned_Year]],cost_table[[#All],[Year]],cost_table[[#All],[Average_Crude_Price_USD_per_Barrel]],"0")</f>
        <v>41.4</v>
      </c>
      <c r="X78" s="40">
        <f>Fact_Table[[#This Row],[Capacity_BPD]]*Fact_Table[[#This Row],[cost per barrel]]</f>
        <v>5367054.5999999996</v>
      </c>
    </row>
    <row r="79" spans="1:24" x14ac:dyDescent="0.35">
      <c r="A79" t="s">
        <v>30</v>
      </c>
      <c r="B79" t="s">
        <v>40</v>
      </c>
      <c r="C79" t="s">
        <v>46</v>
      </c>
      <c r="D79" s="5">
        <v>84790</v>
      </c>
      <c r="E79" s="5">
        <v>1980</v>
      </c>
      <c r="F79" s="5">
        <v>1070</v>
      </c>
      <c r="G79" s="3" t="s">
        <v>28</v>
      </c>
      <c r="H79" s="4">
        <v>32</v>
      </c>
      <c r="I79" s="4">
        <v>6.57</v>
      </c>
      <c r="J79" s="5">
        <v>31411</v>
      </c>
      <c r="K79" s="5">
        <v>39910</v>
      </c>
      <c r="L79" s="5">
        <v>13468</v>
      </c>
      <c r="M79" s="3" t="s">
        <v>23</v>
      </c>
      <c r="N79" s="10">
        <v>22056</v>
      </c>
      <c r="O79" s="12">
        <f>(Fact_Table[[#This Row],[Petrol_Output_BPD]]+Fact_Table[[#This Row],[Diesel_Output_BPD]]+Fact_Table[[#This Row],[Gas_Output_BPD]])/Fact_Table[[#This Row],[No_of_Employees]]</f>
        <v>79.242056074766353</v>
      </c>
      <c r="P79" s="2" t="str">
        <f>IF(Fact_Table[[#This Row],[0/P Producyivity/Day]]&gt;=1000,"High",IF(Fact_Table[[#This Row],[0/P Producyivity/Day]]&gt;=500,"Medium","Low"))</f>
        <v>Low</v>
      </c>
      <c r="Q79" s="10">
        <f>Fact_Table[[#This Row],[Capacity_BPD]]/Fact_Table[[#This Row],[Average_Salary_AED]]</f>
        <v>3.8443054044250999</v>
      </c>
      <c r="R79" s="15">
        <f>(Fact_Table[[#This Row],[Petrol_Output_BPD]]/Fact_Table[[#This Row],[Capacity_BPD]])</f>
        <v>0.3704564217478476</v>
      </c>
      <c r="S79" s="15">
        <f>Fact_Table[[#This Row],[Diesel_Output_BPD]]/Fact_Table[[#This Row],[Capacity_BPD]]</f>
        <v>0.4706922986201203</v>
      </c>
      <c r="T79" s="15">
        <f>Fact_Table[[#This Row],[Gas_Output_BPD]]/Fact_Table[[#This Row],[Capacity_BPD]]</f>
        <v>0.15883948578841844</v>
      </c>
      <c r="U79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79" s="8">
        <f ca="1">YEAR(TODAY())-Fact_Table[[#This Row],[Commissioned_Year]]</f>
        <v>45</v>
      </c>
      <c r="W79" s="40" cm="1">
        <f t="array" ref="W79">_xlfn.XLOOKUP(Fact_Table[[#This Row],[Commissioned_Year]],cost_table[[#All],[Year]],cost_table[[#All],[Average_Crude_Price_USD_per_Barrel]],"0")</f>
        <v>36.799999999999997</v>
      </c>
      <c r="X79" s="40">
        <f>Fact_Table[[#This Row],[Capacity_BPD]]*Fact_Table[[#This Row],[cost per barrel]]</f>
        <v>3120271.9999999995</v>
      </c>
    </row>
    <row r="80" spans="1:24" x14ac:dyDescent="0.35">
      <c r="A80" t="s">
        <v>24</v>
      </c>
      <c r="B80" t="s">
        <v>14</v>
      </c>
      <c r="C80" t="s">
        <v>49</v>
      </c>
      <c r="D80" s="5">
        <v>167657</v>
      </c>
      <c r="E80" s="5">
        <v>2019</v>
      </c>
      <c r="F80" s="5">
        <v>1121</v>
      </c>
      <c r="G80" s="3" t="s">
        <v>31</v>
      </c>
      <c r="H80" s="4">
        <v>24.22</v>
      </c>
      <c r="I80" s="4">
        <v>6.58</v>
      </c>
      <c r="J80" s="5">
        <v>63402</v>
      </c>
      <c r="K80" s="5">
        <v>63504</v>
      </c>
      <c r="L80" s="5">
        <v>40750</v>
      </c>
      <c r="M80" s="3" t="s">
        <v>23</v>
      </c>
      <c r="N80" s="10">
        <v>20263</v>
      </c>
      <c r="O80" s="12">
        <f>(Fact_Table[[#This Row],[Petrol_Output_BPD]]+Fact_Table[[#This Row],[Diesel_Output_BPD]]+Fact_Table[[#This Row],[Gas_Output_BPD]])/Fact_Table[[#This Row],[No_of_Employees]]</f>
        <v>149.5593220338983</v>
      </c>
      <c r="P80" s="2" t="str">
        <f>IF(Fact_Table[[#This Row],[0/P Producyivity/Day]]&gt;=1000,"High",IF(Fact_Table[[#This Row],[0/P Producyivity/Day]]&gt;=500,"Medium","Low"))</f>
        <v>Low</v>
      </c>
      <c r="Q80" s="10">
        <f>Fact_Table[[#This Row],[Capacity_BPD]]/Fact_Table[[#This Row],[Average_Salary_AED]]</f>
        <v>8.2740462912698014</v>
      </c>
      <c r="R80" s="15">
        <f>(Fact_Table[[#This Row],[Petrol_Output_BPD]]/Fact_Table[[#This Row],[Capacity_BPD]])</f>
        <v>0.37816494390332644</v>
      </c>
      <c r="S80" s="15">
        <f>Fact_Table[[#This Row],[Diesel_Output_BPD]]/Fact_Table[[#This Row],[Capacity_BPD]]</f>
        <v>0.37877332887979626</v>
      </c>
      <c r="T80" s="15">
        <f>Fact_Table[[#This Row],[Gas_Output_BPD]]/Fact_Table[[#This Row],[Capacity_BPD]]</f>
        <v>0.24305576265828446</v>
      </c>
      <c r="U80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80" s="8">
        <f ca="1">YEAR(TODAY())-Fact_Table[[#This Row],[Commissioned_Year]]</f>
        <v>6</v>
      </c>
      <c r="W80" s="40" cm="1">
        <f t="array" ref="W80">_xlfn.XLOOKUP(Fact_Table[[#This Row],[Commissioned_Year]],cost_table[[#All],[Year]],cost_table[[#All],[Average_Crude_Price_USD_per_Barrel]],"0")</f>
        <v>52.3</v>
      </c>
      <c r="X80" s="40">
        <f>Fact_Table[[#This Row],[Capacity_BPD]]*Fact_Table[[#This Row],[cost per barrel]]</f>
        <v>8768461.0999999996</v>
      </c>
    </row>
    <row r="81" spans="1:24" x14ac:dyDescent="0.35">
      <c r="A81" t="s">
        <v>60</v>
      </c>
      <c r="B81" t="s">
        <v>40</v>
      </c>
      <c r="C81" t="s">
        <v>15</v>
      </c>
      <c r="D81" s="5">
        <v>802964</v>
      </c>
      <c r="E81" s="5">
        <v>1990</v>
      </c>
      <c r="F81" s="5">
        <v>976</v>
      </c>
      <c r="G81" s="3" t="s">
        <v>31</v>
      </c>
      <c r="H81" s="4">
        <v>30.21</v>
      </c>
      <c r="I81" s="4">
        <v>9.77</v>
      </c>
      <c r="J81" s="5">
        <v>258670</v>
      </c>
      <c r="K81" s="5">
        <v>384842</v>
      </c>
      <c r="L81" s="5">
        <v>159451</v>
      </c>
      <c r="M81" s="3" t="s">
        <v>34</v>
      </c>
      <c r="N81" s="10">
        <v>18077</v>
      </c>
      <c r="O81" s="12">
        <f>(Fact_Table[[#This Row],[Petrol_Output_BPD]]+Fact_Table[[#This Row],[Diesel_Output_BPD]]+Fact_Table[[#This Row],[Gas_Output_BPD]])/Fact_Table[[#This Row],[No_of_Employees]]</f>
        <v>822.70799180327867</v>
      </c>
      <c r="P81" s="2" t="str">
        <f>IF(Fact_Table[[#This Row],[0/P Producyivity/Day]]&gt;=1000,"High",IF(Fact_Table[[#This Row],[0/P Producyivity/Day]]&gt;=500,"Medium","Low"))</f>
        <v>Medium</v>
      </c>
      <c r="Q81" s="10">
        <f>Fact_Table[[#This Row],[Capacity_BPD]]/Fact_Table[[#This Row],[Average_Salary_AED]]</f>
        <v>44.419096088952813</v>
      </c>
      <c r="R81" s="15">
        <f>(Fact_Table[[#This Row],[Petrol_Output_BPD]]/Fact_Table[[#This Row],[Capacity_BPD]])</f>
        <v>0.32214395664064638</v>
      </c>
      <c r="S81" s="15">
        <f>Fact_Table[[#This Row],[Diesel_Output_BPD]]/Fact_Table[[#This Row],[Capacity_BPD]]</f>
        <v>0.47927677953183456</v>
      </c>
      <c r="T81" s="15">
        <f>Fact_Table[[#This Row],[Gas_Output_BPD]]/Fact_Table[[#This Row],[Capacity_BPD]]</f>
        <v>0.19857801844167361</v>
      </c>
      <c r="U81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81" s="8">
        <f ca="1">YEAR(TODAY())-Fact_Table[[#This Row],[Commissioned_Year]]</f>
        <v>35</v>
      </c>
      <c r="W81" s="40" cm="1">
        <f t="array" ref="W81">_xlfn.XLOOKUP(Fact_Table[[#This Row],[Commissioned_Year]],cost_table[[#All],[Year]],cost_table[[#All],[Average_Crude_Price_USD_per_Barrel]],"0")</f>
        <v>22.3</v>
      </c>
      <c r="X81" s="40">
        <f>Fact_Table[[#This Row],[Capacity_BPD]]*Fact_Table[[#This Row],[cost per barrel]]</f>
        <v>17906097.199999999</v>
      </c>
    </row>
    <row r="82" spans="1:24" x14ac:dyDescent="0.35">
      <c r="A82" t="s">
        <v>60</v>
      </c>
      <c r="B82" t="s">
        <v>40</v>
      </c>
      <c r="C82" t="s">
        <v>49</v>
      </c>
      <c r="D82" s="5">
        <v>375721</v>
      </c>
      <c r="E82" s="5">
        <v>2018</v>
      </c>
      <c r="F82" s="5">
        <v>1456</v>
      </c>
      <c r="G82" s="3" t="s">
        <v>21</v>
      </c>
      <c r="H82" s="4">
        <v>25.64</v>
      </c>
      <c r="I82" s="4">
        <v>6.22</v>
      </c>
      <c r="J82" s="5">
        <v>161389</v>
      </c>
      <c r="K82" s="5">
        <v>146066</v>
      </c>
      <c r="L82" s="5">
        <v>68264</v>
      </c>
      <c r="M82" s="3" t="s">
        <v>38</v>
      </c>
      <c r="N82" s="10">
        <v>13504</v>
      </c>
      <c r="O82" s="12">
        <f>(Fact_Table[[#This Row],[Petrol_Output_BPD]]+Fact_Table[[#This Row],[Diesel_Output_BPD]]+Fact_Table[[#This Row],[Gas_Output_BPD]])/Fact_Table[[#This Row],[No_of_Employees]]</f>
        <v>258.04876373626371</v>
      </c>
      <c r="P82" s="2" t="str">
        <f>IF(Fact_Table[[#This Row],[0/P Producyivity/Day]]&gt;=1000,"High",IF(Fact_Table[[#This Row],[0/P Producyivity/Day]]&gt;=500,"Medium","Low"))</f>
        <v>Low</v>
      </c>
      <c r="Q82" s="10">
        <f>Fact_Table[[#This Row],[Capacity_BPD]]/Fact_Table[[#This Row],[Average_Salary_AED]]</f>
        <v>27.822941350710902</v>
      </c>
      <c r="R82" s="15">
        <f>(Fact_Table[[#This Row],[Petrol_Output_BPD]]/Fact_Table[[#This Row],[Capacity_BPD]])</f>
        <v>0.42954479520708183</v>
      </c>
      <c r="S82" s="15">
        <f>Fact_Table[[#This Row],[Diesel_Output_BPD]]/Fact_Table[[#This Row],[Capacity_BPD]]</f>
        <v>0.38876187383723559</v>
      </c>
      <c r="T82" s="15">
        <f>Fact_Table[[#This Row],[Gas_Output_BPD]]/Fact_Table[[#This Row],[Capacity_BPD]]</f>
        <v>0.18168800785689382</v>
      </c>
      <c r="U8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82" s="8">
        <f ca="1">YEAR(TODAY())-Fact_Table[[#This Row],[Commissioned_Year]]</f>
        <v>7</v>
      </c>
      <c r="W82" s="40" cm="1">
        <f t="array" ref="W82">_xlfn.XLOOKUP(Fact_Table[[#This Row],[Commissioned_Year]],cost_table[[#All],[Year]],cost_table[[#All],[Average_Crude_Price_USD_per_Barrel]],"0")</f>
        <v>100.2</v>
      </c>
      <c r="X82" s="40">
        <f>Fact_Table[[#This Row],[Capacity_BPD]]*Fact_Table[[#This Row],[cost per barrel]]</f>
        <v>37647244.200000003</v>
      </c>
    </row>
    <row r="83" spans="1:24" x14ac:dyDescent="0.35">
      <c r="A83" t="s">
        <v>37</v>
      </c>
      <c r="B83" t="s">
        <v>14</v>
      </c>
      <c r="C83" t="s">
        <v>46</v>
      </c>
      <c r="D83" s="5">
        <v>324851</v>
      </c>
      <c r="E83" s="5">
        <v>1997</v>
      </c>
      <c r="F83" s="5">
        <v>580</v>
      </c>
      <c r="G83" s="3" t="s">
        <v>16</v>
      </c>
      <c r="H83" s="4">
        <v>9.5500000000000007</v>
      </c>
      <c r="I83" s="4">
        <v>6.83</v>
      </c>
      <c r="J83" s="5">
        <v>142927</v>
      </c>
      <c r="K83" s="5">
        <v>119569</v>
      </c>
      <c r="L83" s="5">
        <v>62354</v>
      </c>
      <c r="M83" s="3" t="s">
        <v>34</v>
      </c>
      <c r="N83" s="10">
        <v>9275</v>
      </c>
      <c r="O83" s="12">
        <f>(Fact_Table[[#This Row],[Petrol_Output_BPD]]+Fact_Table[[#This Row],[Diesel_Output_BPD]]+Fact_Table[[#This Row],[Gas_Output_BPD]])/Fact_Table[[#This Row],[No_of_Employees]]</f>
        <v>560.08620689655174</v>
      </c>
      <c r="P83" s="2" t="str">
        <f>IF(Fact_Table[[#This Row],[0/P Producyivity/Day]]&gt;=1000,"High",IF(Fact_Table[[#This Row],[0/P Producyivity/Day]]&gt;=500,"Medium","Low"))</f>
        <v>Medium</v>
      </c>
      <c r="Q83" s="10">
        <f>Fact_Table[[#This Row],[Capacity_BPD]]/Fact_Table[[#This Row],[Average_Salary_AED]]</f>
        <v>35.024366576819403</v>
      </c>
      <c r="R83" s="15">
        <f>(Fact_Table[[#This Row],[Petrol_Output_BPD]]/Fact_Table[[#This Row],[Capacity_BPD]])</f>
        <v>0.4399770971922512</v>
      </c>
      <c r="S83" s="15">
        <f>Fact_Table[[#This Row],[Diesel_Output_BPD]]/Fact_Table[[#This Row],[Capacity_BPD]]</f>
        <v>0.36807336286482112</v>
      </c>
      <c r="T83" s="15">
        <f>Fact_Table[[#This Row],[Gas_Output_BPD]]/Fact_Table[[#This Row],[Capacity_BPD]]</f>
        <v>0.19194646160855283</v>
      </c>
      <c r="U83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83" s="8">
        <f ca="1">YEAR(TODAY())-Fact_Table[[#This Row],[Commissioned_Year]]</f>
        <v>28</v>
      </c>
      <c r="W83" s="40" cm="1">
        <f t="array" ref="W83">_xlfn.XLOOKUP(Fact_Table[[#This Row],[Commissioned_Year]],cost_table[[#All],[Year]],cost_table[[#All],[Average_Crude_Price_USD_per_Barrel]],"0")</f>
        <v>15</v>
      </c>
      <c r="X83" s="40">
        <f>Fact_Table[[#This Row],[Capacity_BPD]]*Fact_Table[[#This Row],[cost per barrel]]</f>
        <v>4872765</v>
      </c>
    </row>
    <row r="84" spans="1:24" x14ac:dyDescent="0.35">
      <c r="A84" t="s">
        <v>37</v>
      </c>
      <c r="B84" t="s">
        <v>40</v>
      </c>
      <c r="C84" t="s">
        <v>50</v>
      </c>
      <c r="D84" s="5">
        <v>392852</v>
      </c>
      <c r="E84" s="5">
        <v>1995</v>
      </c>
      <c r="F84" s="5">
        <v>978</v>
      </c>
      <c r="G84" s="3" t="s">
        <v>21</v>
      </c>
      <c r="H84" s="4">
        <v>32.61</v>
      </c>
      <c r="I84" s="4">
        <v>7.22</v>
      </c>
      <c r="J84" s="5">
        <v>158988</v>
      </c>
      <c r="K84" s="5">
        <v>183571</v>
      </c>
      <c r="L84" s="5">
        <v>50292</v>
      </c>
      <c r="M84" s="3" t="s">
        <v>23</v>
      </c>
      <c r="N84" s="10">
        <v>19126</v>
      </c>
      <c r="O84" s="12">
        <f>(Fact_Table[[#This Row],[Petrol_Output_BPD]]+Fact_Table[[#This Row],[Diesel_Output_BPD]]+Fact_Table[[#This Row],[Gas_Output_BPD]])/Fact_Table[[#This Row],[No_of_Employees]]</f>
        <v>401.68813905930472</v>
      </c>
      <c r="P84" s="2" t="str">
        <f>IF(Fact_Table[[#This Row],[0/P Producyivity/Day]]&gt;=1000,"High",IF(Fact_Table[[#This Row],[0/P Producyivity/Day]]&gt;=500,"Medium","Low"))</f>
        <v>Low</v>
      </c>
      <c r="Q84" s="10">
        <f>Fact_Table[[#This Row],[Capacity_BPD]]/Fact_Table[[#This Row],[Average_Salary_AED]]</f>
        <v>20.540207047997491</v>
      </c>
      <c r="R84" s="15">
        <f>(Fact_Table[[#This Row],[Petrol_Output_BPD]]/Fact_Table[[#This Row],[Capacity_BPD]])</f>
        <v>0.40470202519014792</v>
      </c>
      <c r="S84" s="15">
        <f>Fact_Table[[#This Row],[Diesel_Output_BPD]]/Fact_Table[[#This Row],[Capacity_BPD]]</f>
        <v>0.46727775345422706</v>
      </c>
      <c r="T84" s="15">
        <f>Fact_Table[[#This Row],[Gas_Output_BPD]]/Fact_Table[[#This Row],[Capacity_BPD]]</f>
        <v>0.12801767586775681</v>
      </c>
      <c r="U84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84" s="8">
        <f ca="1">YEAR(TODAY())-Fact_Table[[#This Row],[Commissioned_Year]]</f>
        <v>30</v>
      </c>
      <c r="W84" s="40" cm="1">
        <f t="array" ref="W84">_xlfn.XLOOKUP(Fact_Table[[#This Row],[Commissioned_Year]],cost_table[[#All],[Year]],cost_table[[#All],[Average_Crude_Price_USD_per_Barrel]],"0")</f>
        <v>20.100000000000001</v>
      </c>
      <c r="X84" s="40">
        <f>Fact_Table[[#This Row],[Capacity_BPD]]*Fact_Table[[#This Row],[cost per barrel]]</f>
        <v>7896325.2000000002</v>
      </c>
    </row>
    <row r="85" spans="1:24" x14ac:dyDescent="0.35">
      <c r="A85" t="s">
        <v>27</v>
      </c>
      <c r="B85" t="s">
        <v>32</v>
      </c>
      <c r="C85" t="s">
        <v>15</v>
      </c>
      <c r="D85" s="5">
        <v>730089</v>
      </c>
      <c r="E85" s="5">
        <v>1984</v>
      </c>
      <c r="F85" s="5">
        <v>1554</v>
      </c>
      <c r="G85" s="3" t="s">
        <v>31</v>
      </c>
      <c r="H85" s="4">
        <v>8.36</v>
      </c>
      <c r="I85" s="4">
        <v>8.49</v>
      </c>
      <c r="J85" s="5">
        <v>297430</v>
      </c>
      <c r="K85" s="5">
        <v>347538</v>
      </c>
      <c r="L85" s="5">
        <v>85119</v>
      </c>
      <c r="M85" s="3" t="s">
        <v>29</v>
      </c>
      <c r="N85" s="10">
        <v>24653</v>
      </c>
      <c r="O85" s="12">
        <f>(Fact_Table[[#This Row],[Petrol_Output_BPD]]+Fact_Table[[#This Row],[Diesel_Output_BPD]]+Fact_Table[[#This Row],[Gas_Output_BPD]])/Fact_Table[[#This Row],[No_of_Employees]]</f>
        <v>469.81145431145433</v>
      </c>
      <c r="P85" s="2" t="str">
        <f>IF(Fact_Table[[#This Row],[0/P Producyivity/Day]]&gt;=1000,"High",IF(Fact_Table[[#This Row],[0/P Producyivity/Day]]&gt;=500,"Medium","Low"))</f>
        <v>Low</v>
      </c>
      <c r="Q85" s="10">
        <f>Fact_Table[[#This Row],[Capacity_BPD]]/Fact_Table[[#This Row],[Average_Salary_AED]]</f>
        <v>29.614610797874498</v>
      </c>
      <c r="R85" s="15">
        <f>(Fact_Table[[#This Row],[Petrol_Output_BPD]]/Fact_Table[[#This Row],[Capacity_BPD]])</f>
        <v>0.40738868822842145</v>
      </c>
      <c r="S85" s="15">
        <f>Fact_Table[[#This Row],[Diesel_Output_BPD]]/Fact_Table[[#This Row],[Capacity_BPD]]</f>
        <v>0.47602141656702129</v>
      </c>
      <c r="T85" s="15">
        <f>Fact_Table[[#This Row],[Gas_Output_BPD]]/Fact_Table[[#This Row],[Capacity_BPD]]</f>
        <v>0.11658715581251053</v>
      </c>
      <c r="U85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85" s="8">
        <f ca="1">YEAR(TODAY())-Fact_Table[[#This Row],[Commissioned_Year]]</f>
        <v>41</v>
      </c>
      <c r="W85" s="40" cm="1">
        <f t="array" ref="W85">_xlfn.XLOOKUP(Fact_Table[[#This Row],[Commissioned_Year]],cost_table[[#All],[Year]],cost_table[[#All],[Average_Crude_Price_USD_per_Barrel]],"0")</f>
        <v>28.5</v>
      </c>
      <c r="X85" s="40">
        <f>Fact_Table[[#This Row],[Capacity_BPD]]*Fact_Table[[#This Row],[cost per barrel]]</f>
        <v>20807536.5</v>
      </c>
    </row>
    <row r="86" spans="1:24" x14ac:dyDescent="0.35">
      <c r="A86" t="s">
        <v>24</v>
      </c>
      <c r="B86" t="s">
        <v>32</v>
      </c>
      <c r="C86" t="s">
        <v>49</v>
      </c>
      <c r="D86" s="5">
        <v>831573</v>
      </c>
      <c r="E86" s="5">
        <v>1995</v>
      </c>
      <c r="F86" s="5">
        <v>2161</v>
      </c>
      <c r="G86" s="3" t="s">
        <v>16</v>
      </c>
      <c r="H86" s="4">
        <v>8.68</v>
      </c>
      <c r="I86" s="4">
        <v>5.25</v>
      </c>
      <c r="J86" s="5">
        <v>225974</v>
      </c>
      <c r="K86" s="5">
        <v>439729</v>
      </c>
      <c r="L86" s="5">
        <v>165869</v>
      </c>
      <c r="M86" s="3" t="s">
        <v>23</v>
      </c>
      <c r="N86" s="10">
        <v>20776</v>
      </c>
      <c r="O86" s="12">
        <f>(Fact_Table[[#This Row],[Petrol_Output_BPD]]+Fact_Table[[#This Row],[Diesel_Output_BPD]]+Fact_Table[[#This Row],[Gas_Output_BPD]])/Fact_Table[[#This Row],[No_of_Employees]]</f>
        <v>384.80888477556687</v>
      </c>
      <c r="P86" s="2" t="str">
        <f>IF(Fact_Table[[#This Row],[0/P Producyivity/Day]]&gt;=1000,"High",IF(Fact_Table[[#This Row],[0/P Producyivity/Day]]&gt;=500,"Medium","Low"))</f>
        <v>Low</v>
      </c>
      <c r="Q86" s="10">
        <f>Fact_Table[[#This Row],[Capacity_BPD]]/Fact_Table[[#This Row],[Average_Salary_AED]]</f>
        <v>40.025654601463224</v>
      </c>
      <c r="R86" s="15">
        <f>(Fact_Table[[#This Row],[Petrol_Output_BPD]]/Fact_Table[[#This Row],[Capacity_BPD]])</f>
        <v>0.27174282955314805</v>
      </c>
      <c r="S86" s="15">
        <f>Fact_Table[[#This Row],[Diesel_Output_BPD]]/Fact_Table[[#This Row],[Capacity_BPD]]</f>
        <v>0.52879181984023049</v>
      </c>
      <c r="T86" s="15">
        <f>Fact_Table[[#This Row],[Gas_Output_BPD]]/Fact_Table[[#This Row],[Capacity_BPD]]</f>
        <v>0.19946414806637541</v>
      </c>
      <c r="U8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86" s="8">
        <f ca="1">YEAR(TODAY())-Fact_Table[[#This Row],[Commissioned_Year]]</f>
        <v>30</v>
      </c>
      <c r="W86" s="40" cm="1">
        <f t="array" ref="W86">_xlfn.XLOOKUP(Fact_Table[[#This Row],[Commissioned_Year]],cost_table[[#All],[Year]],cost_table[[#All],[Average_Crude_Price_USD_per_Barrel]],"0")</f>
        <v>20.100000000000001</v>
      </c>
      <c r="X86" s="40">
        <f>Fact_Table[[#This Row],[Capacity_BPD]]*Fact_Table[[#This Row],[cost per barrel]]</f>
        <v>16714617.300000001</v>
      </c>
    </row>
    <row r="87" spans="1:24" x14ac:dyDescent="0.35">
      <c r="A87" t="s">
        <v>36</v>
      </c>
      <c r="B87" t="s">
        <v>41</v>
      </c>
      <c r="C87" t="s">
        <v>46</v>
      </c>
      <c r="D87" s="5">
        <v>699306</v>
      </c>
      <c r="E87" s="5">
        <v>2016</v>
      </c>
      <c r="F87" s="5">
        <v>2348</v>
      </c>
      <c r="G87" s="3" t="s">
        <v>31</v>
      </c>
      <c r="H87" s="4">
        <v>29.1</v>
      </c>
      <c r="I87" s="4">
        <v>5.12</v>
      </c>
      <c r="J87" s="5">
        <v>293488</v>
      </c>
      <c r="K87" s="5">
        <v>247113</v>
      </c>
      <c r="L87" s="5">
        <v>158703</v>
      </c>
      <c r="M87" s="3" t="s">
        <v>34</v>
      </c>
      <c r="N87" s="10">
        <v>24205</v>
      </c>
      <c r="O87" s="12">
        <f>(Fact_Table[[#This Row],[Petrol_Output_BPD]]+Fact_Table[[#This Row],[Diesel_Output_BPD]]+Fact_Table[[#This Row],[Gas_Output_BPD]])/Fact_Table[[#This Row],[No_of_Employees]]</f>
        <v>297.82964224872234</v>
      </c>
      <c r="P87" s="2" t="str">
        <f>IF(Fact_Table[[#This Row],[0/P Producyivity/Day]]&gt;=1000,"High",IF(Fact_Table[[#This Row],[0/P Producyivity/Day]]&gt;=500,"Medium","Low"))</f>
        <v>Low</v>
      </c>
      <c r="Q87" s="10">
        <f>Fact_Table[[#This Row],[Capacity_BPD]]/Fact_Table[[#This Row],[Average_Salary_AED]]</f>
        <v>28.890972939475315</v>
      </c>
      <c r="R87" s="15">
        <f>(Fact_Table[[#This Row],[Petrol_Output_BPD]]/Fact_Table[[#This Row],[Capacity_BPD]])</f>
        <v>0.41968465879028638</v>
      </c>
      <c r="S87" s="15">
        <f>Fact_Table[[#This Row],[Diesel_Output_BPD]]/Fact_Table[[#This Row],[Capacity_BPD]]</f>
        <v>0.35336891146365113</v>
      </c>
      <c r="T87" s="15">
        <f>Fact_Table[[#This Row],[Gas_Output_BPD]]/Fact_Table[[#This Row],[Capacity_BPD]]</f>
        <v>0.22694356976774116</v>
      </c>
      <c r="U87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87" s="8">
        <f ca="1">YEAR(TODAY())-Fact_Table[[#This Row],[Commissioned_Year]]</f>
        <v>9</v>
      </c>
      <c r="W87" s="40" cm="1">
        <f t="array" ref="W87">_xlfn.XLOOKUP(Fact_Table[[#This Row],[Commissioned_Year]],cost_table[[#All],[Year]],cost_table[[#All],[Average_Crude_Price_USD_per_Barrel]],"0")</f>
        <v>54.2</v>
      </c>
      <c r="X87" s="40">
        <f>Fact_Table[[#This Row],[Capacity_BPD]]*Fact_Table[[#This Row],[cost per barrel]]</f>
        <v>37902385.200000003</v>
      </c>
    </row>
    <row r="88" spans="1:24" x14ac:dyDescent="0.35">
      <c r="A88" t="s">
        <v>36</v>
      </c>
      <c r="B88" t="s">
        <v>32</v>
      </c>
      <c r="C88" t="s">
        <v>49</v>
      </c>
      <c r="D88" s="5">
        <v>219974</v>
      </c>
      <c r="E88" s="5">
        <v>2013</v>
      </c>
      <c r="F88" s="5">
        <v>1611</v>
      </c>
      <c r="G88" s="3" t="s">
        <v>21</v>
      </c>
      <c r="H88" s="4">
        <v>23.3</v>
      </c>
      <c r="I88" s="4">
        <v>6.07</v>
      </c>
      <c r="J88" s="5">
        <v>80556</v>
      </c>
      <c r="K88" s="5">
        <v>100109</v>
      </c>
      <c r="L88" s="5">
        <v>39308</v>
      </c>
      <c r="M88" s="3" t="s">
        <v>34</v>
      </c>
      <c r="N88" s="10">
        <v>16565</v>
      </c>
      <c r="O88" s="12">
        <f>(Fact_Table[[#This Row],[Petrol_Output_BPD]]+Fact_Table[[#This Row],[Diesel_Output_BPD]]+Fact_Table[[#This Row],[Gas_Output_BPD]])/Fact_Table[[#This Row],[No_of_Employees]]</f>
        <v>136.54438237119803</v>
      </c>
      <c r="P88" s="2" t="str">
        <f>IF(Fact_Table[[#This Row],[0/P Producyivity/Day]]&gt;=1000,"High",IF(Fact_Table[[#This Row],[0/P Producyivity/Day]]&gt;=500,"Medium","Low"))</f>
        <v>Low</v>
      </c>
      <c r="Q88" s="10">
        <f>Fact_Table[[#This Row],[Capacity_BPD]]/Fact_Table[[#This Row],[Average_Salary_AED]]</f>
        <v>13.279444612134018</v>
      </c>
      <c r="R88" s="15">
        <f>(Fact_Table[[#This Row],[Petrol_Output_BPD]]/Fact_Table[[#This Row],[Capacity_BPD]])</f>
        <v>0.36620691536272471</v>
      </c>
      <c r="S88" s="15">
        <f>Fact_Table[[#This Row],[Diesel_Output_BPD]]/Fact_Table[[#This Row],[Capacity_BPD]]</f>
        <v>0.45509469300917382</v>
      </c>
      <c r="T88" s="15">
        <f>Fact_Table[[#This Row],[Gas_Output_BPD]]/Fact_Table[[#This Row],[Capacity_BPD]]</f>
        <v>0.17869384563630247</v>
      </c>
      <c r="U8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88" s="8">
        <f ca="1">YEAR(TODAY())-Fact_Table[[#This Row],[Commissioned_Year]]</f>
        <v>12</v>
      </c>
      <c r="W88" s="40" cm="1">
        <f t="array" ref="W88">_xlfn.XLOOKUP(Fact_Table[[#This Row],[Commissioned_Year]],cost_table[[#All],[Year]],cost_table[[#All],[Average_Crude_Price_USD_per_Barrel]],"0")</f>
        <v>97.3</v>
      </c>
      <c r="X88" s="40">
        <f>Fact_Table[[#This Row],[Capacity_BPD]]*Fact_Table[[#This Row],[cost per barrel]]</f>
        <v>21403470.199999999</v>
      </c>
    </row>
    <row r="89" spans="1:24" x14ac:dyDescent="0.35">
      <c r="A89" t="s">
        <v>35</v>
      </c>
      <c r="B89" t="s">
        <v>25</v>
      </c>
      <c r="C89" t="s">
        <v>50</v>
      </c>
      <c r="D89" s="5">
        <v>424535</v>
      </c>
      <c r="E89" s="5">
        <v>1976</v>
      </c>
      <c r="F89" s="5">
        <v>584</v>
      </c>
      <c r="G89" s="3" t="s">
        <v>28</v>
      </c>
      <c r="H89" s="4">
        <v>24.8</v>
      </c>
      <c r="I89" s="4">
        <v>5.43</v>
      </c>
      <c r="J89" s="5">
        <v>170990</v>
      </c>
      <c r="K89" s="5">
        <v>143083</v>
      </c>
      <c r="L89" s="5">
        <v>110461</v>
      </c>
      <c r="M89" s="3" t="s">
        <v>23</v>
      </c>
      <c r="N89" s="10">
        <v>22146</v>
      </c>
      <c r="O89" s="12">
        <f>(Fact_Table[[#This Row],[Petrol_Output_BPD]]+Fact_Table[[#This Row],[Diesel_Output_BPD]]+Fact_Table[[#This Row],[Gas_Output_BPD]])/Fact_Table[[#This Row],[No_of_Employees]]</f>
        <v>726.94178082191786</v>
      </c>
      <c r="P89" s="2" t="str">
        <f>IF(Fact_Table[[#This Row],[0/P Producyivity/Day]]&gt;=1000,"High",IF(Fact_Table[[#This Row],[0/P Producyivity/Day]]&gt;=500,"Medium","Low"))</f>
        <v>Medium</v>
      </c>
      <c r="Q89" s="10">
        <f>Fact_Table[[#This Row],[Capacity_BPD]]/Fact_Table[[#This Row],[Average_Salary_AED]]</f>
        <v>19.169827508353652</v>
      </c>
      <c r="R89" s="15">
        <f>(Fact_Table[[#This Row],[Petrol_Output_BPD]]/Fact_Table[[#This Row],[Capacity_BPD]])</f>
        <v>0.40277008962747479</v>
      </c>
      <c r="S89" s="15">
        <f>Fact_Table[[#This Row],[Diesel_Output_BPD]]/Fact_Table[[#This Row],[Capacity_BPD]]</f>
        <v>0.33703463789793536</v>
      </c>
      <c r="T89" s="15">
        <f>Fact_Table[[#This Row],[Gas_Output_BPD]]/Fact_Table[[#This Row],[Capacity_BPD]]</f>
        <v>0.26019291695619912</v>
      </c>
      <c r="U89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89" s="8">
        <f ca="1">YEAR(TODAY())-Fact_Table[[#This Row],[Commissioned_Year]]</f>
        <v>49</v>
      </c>
      <c r="W89" s="40" cm="1">
        <f t="array" ref="W89">_xlfn.XLOOKUP(Fact_Table[[#This Row],[Commissioned_Year]],cost_table[[#All],[Year]],cost_table[[#All],[Average_Crude_Price_USD_per_Barrel]],"0")</f>
        <v>11.2</v>
      </c>
      <c r="X89" s="40">
        <f>Fact_Table[[#This Row],[Capacity_BPD]]*Fact_Table[[#This Row],[cost per barrel]]</f>
        <v>4754792</v>
      </c>
    </row>
    <row r="90" spans="1:24" x14ac:dyDescent="0.35">
      <c r="A90" t="s">
        <v>24</v>
      </c>
      <c r="B90" t="s">
        <v>32</v>
      </c>
      <c r="C90" t="s">
        <v>39</v>
      </c>
      <c r="D90" s="5">
        <v>454247</v>
      </c>
      <c r="E90" s="5">
        <v>1982</v>
      </c>
      <c r="F90" s="5">
        <v>685</v>
      </c>
      <c r="G90" s="3" t="s">
        <v>16</v>
      </c>
      <c r="H90" s="4">
        <v>5.36</v>
      </c>
      <c r="I90" s="4">
        <v>8.76</v>
      </c>
      <c r="J90" s="5">
        <v>151576</v>
      </c>
      <c r="K90" s="5">
        <v>219096</v>
      </c>
      <c r="L90" s="5">
        <v>83574</v>
      </c>
      <c r="M90" s="3" t="s">
        <v>34</v>
      </c>
      <c r="N90" s="10">
        <v>8375</v>
      </c>
      <c r="O90" s="12">
        <f>(Fact_Table[[#This Row],[Petrol_Output_BPD]]+Fact_Table[[#This Row],[Diesel_Output_BPD]]+Fact_Table[[#This Row],[Gas_Output_BPD]])/Fact_Table[[#This Row],[No_of_Employees]]</f>
        <v>663.13284671532847</v>
      </c>
      <c r="P90" s="2" t="str">
        <f>IF(Fact_Table[[#This Row],[0/P Producyivity/Day]]&gt;=1000,"High",IF(Fact_Table[[#This Row],[0/P Producyivity/Day]]&gt;=500,"Medium","Low"))</f>
        <v>Medium</v>
      </c>
      <c r="Q90" s="10">
        <f>Fact_Table[[#This Row],[Capacity_BPD]]/Fact_Table[[#This Row],[Average_Salary_AED]]</f>
        <v>54.238447761194031</v>
      </c>
      <c r="R90" s="15">
        <f>(Fact_Table[[#This Row],[Petrol_Output_BPD]]/Fact_Table[[#This Row],[Capacity_BPD]])</f>
        <v>0.33368629842354491</v>
      </c>
      <c r="S90" s="15">
        <f>Fact_Table[[#This Row],[Diesel_Output_BPD]]/Fact_Table[[#This Row],[Capacity_BPD]]</f>
        <v>0.48232789649683983</v>
      </c>
      <c r="T90" s="15">
        <f>Fact_Table[[#This Row],[Gas_Output_BPD]]/Fact_Table[[#This Row],[Capacity_BPD]]</f>
        <v>0.18398360363414618</v>
      </c>
      <c r="U90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90" s="8">
        <f ca="1">YEAR(TODAY())-Fact_Table[[#This Row],[Commissioned_Year]]</f>
        <v>43</v>
      </c>
      <c r="W90" s="40" cm="1">
        <f t="array" ref="W90">_xlfn.XLOOKUP(Fact_Table[[#This Row],[Commissioned_Year]],cost_table[[#All],[Year]],cost_table[[#All],[Average_Crude_Price_USD_per_Barrel]],"0")</f>
        <v>32.799999999999997</v>
      </c>
      <c r="X90" s="40">
        <f>Fact_Table[[#This Row],[Capacity_BPD]]*Fact_Table[[#This Row],[cost per barrel]]</f>
        <v>14899301.6</v>
      </c>
    </row>
    <row r="91" spans="1:24" x14ac:dyDescent="0.35">
      <c r="A91" t="s">
        <v>45</v>
      </c>
      <c r="B91" t="s">
        <v>25</v>
      </c>
      <c r="C91" t="s">
        <v>46</v>
      </c>
      <c r="D91" s="5">
        <v>726064</v>
      </c>
      <c r="E91" s="5">
        <v>2021</v>
      </c>
      <c r="F91" s="5">
        <v>1420</v>
      </c>
      <c r="G91" s="3" t="s">
        <v>31</v>
      </c>
      <c r="H91" s="4">
        <v>31.57</v>
      </c>
      <c r="I91" s="4">
        <v>8.27</v>
      </c>
      <c r="J91" s="5">
        <v>245606</v>
      </c>
      <c r="K91" s="5">
        <v>368343</v>
      </c>
      <c r="L91" s="5">
        <v>112114</v>
      </c>
      <c r="M91" s="3" t="s">
        <v>38</v>
      </c>
      <c r="N91" s="10">
        <v>15430</v>
      </c>
      <c r="O91" s="12">
        <f>(Fact_Table[[#This Row],[Petrol_Output_BPD]]+Fact_Table[[#This Row],[Diesel_Output_BPD]]+Fact_Table[[#This Row],[Gas_Output_BPD]])/Fact_Table[[#This Row],[No_of_Employees]]</f>
        <v>511.3119718309859</v>
      </c>
      <c r="P91" s="2" t="str">
        <f>IF(Fact_Table[[#This Row],[0/P Producyivity/Day]]&gt;=1000,"High",IF(Fact_Table[[#This Row],[0/P Producyivity/Day]]&gt;=500,"Medium","Low"))</f>
        <v>Medium</v>
      </c>
      <c r="Q91" s="10">
        <f>Fact_Table[[#This Row],[Capacity_BPD]]/Fact_Table[[#This Row],[Average_Salary_AED]]</f>
        <v>47.055346727154891</v>
      </c>
      <c r="R91" s="15">
        <f>(Fact_Table[[#This Row],[Petrol_Output_BPD]]/Fact_Table[[#This Row],[Capacity_BPD]])</f>
        <v>0.33827045549703605</v>
      </c>
      <c r="S91" s="15">
        <f>Fact_Table[[#This Row],[Diesel_Output_BPD]]/Fact_Table[[#This Row],[Capacity_BPD]]</f>
        <v>0.50731478216796311</v>
      </c>
      <c r="T91" s="15">
        <f>Fact_Table[[#This Row],[Gas_Output_BPD]]/Fact_Table[[#This Row],[Capacity_BPD]]</f>
        <v>0.15441338504594637</v>
      </c>
      <c r="U91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91" s="8">
        <f ca="1">YEAR(TODAY())-Fact_Table[[#This Row],[Commissioned_Year]]</f>
        <v>4</v>
      </c>
      <c r="W91" s="40" cm="1">
        <f t="array" ref="W91">_xlfn.XLOOKUP(Fact_Table[[#This Row],[Commissioned_Year]],cost_table[[#All],[Year]],cost_table[[#All],[Average_Crude_Price_USD_per_Barrel]],"0")</f>
        <v>54.2</v>
      </c>
      <c r="X91" s="40">
        <f>Fact_Table[[#This Row],[Capacity_BPD]]*Fact_Table[[#This Row],[cost per barrel]]</f>
        <v>39352668.800000004</v>
      </c>
    </row>
    <row r="92" spans="1:24" x14ac:dyDescent="0.35">
      <c r="A92" t="s">
        <v>37</v>
      </c>
      <c r="B92" t="s">
        <v>26</v>
      </c>
      <c r="C92" t="s">
        <v>47</v>
      </c>
      <c r="D92" s="5">
        <v>249543</v>
      </c>
      <c r="E92" s="5">
        <v>2015</v>
      </c>
      <c r="F92" s="5">
        <v>1731</v>
      </c>
      <c r="G92" s="3" t="s">
        <v>28</v>
      </c>
      <c r="H92" s="4">
        <v>28.19</v>
      </c>
      <c r="I92" s="4">
        <v>7.64</v>
      </c>
      <c r="J92" s="5">
        <v>85811</v>
      </c>
      <c r="K92" s="5">
        <v>116161</v>
      </c>
      <c r="L92" s="5">
        <v>47570</v>
      </c>
      <c r="M92" s="3" t="s">
        <v>38</v>
      </c>
      <c r="N92" s="10">
        <v>24631</v>
      </c>
      <c r="O92" s="12">
        <f>(Fact_Table[[#This Row],[Petrol_Output_BPD]]+Fact_Table[[#This Row],[Diesel_Output_BPD]]+Fact_Table[[#This Row],[Gas_Output_BPD]])/Fact_Table[[#This Row],[No_of_Employees]]</f>
        <v>144.16060080878106</v>
      </c>
      <c r="P92" s="2" t="str">
        <f>IF(Fact_Table[[#This Row],[0/P Producyivity/Day]]&gt;=1000,"High",IF(Fact_Table[[#This Row],[0/P Producyivity/Day]]&gt;=500,"Medium","Low"))</f>
        <v>Low</v>
      </c>
      <c r="Q92" s="10">
        <f>Fact_Table[[#This Row],[Capacity_BPD]]/Fact_Table[[#This Row],[Average_Salary_AED]]</f>
        <v>10.13125735861313</v>
      </c>
      <c r="R92" s="15">
        <f>(Fact_Table[[#This Row],[Petrol_Output_BPD]]/Fact_Table[[#This Row],[Capacity_BPD]])</f>
        <v>0.34387259911117524</v>
      </c>
      <c r="S92" s="15">
        <f>Fact_Table[[#This Row],[Diesel_Output_BPD]]/Fact_Table[[#This Row],[Capacity_BPD]]</f>
        <v>0.46549492472239251</v>
      </c>
      <c r="T92" s="15">
        <f>Fact_Table[[#This Row],[Gas_Output_BPD]]/Fact_Table[[#This Row],[Capacity_BPD]]</f>
        <v>0.19062846884104143</v>
      </c>
      <c r="U9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92" s="8">
        <f ca="1">YEAR(TODAY())-Fact_Table[[#This Row],[Commissioned_Year]]</f>
        <v>10</v>
      </c>
      <c r="W92" s="40" cm="1">
        <f t="array" ref="W92">_xlfn.XLOOKUP(Fact_Table[[#This Row],[Commissioned_Year]],cost_table[[#All],[Year]],cost_table[[#All],[Average_Crude_Price_USD_per_Barrel]],"0")</f>
        <v>43.7</v>
      </c>
      <c r="X92" s="40">
        <f>Fact_Table[[#This Row],[Capacity_BPD]]*Fact_Table[[#This Row],[cost per barrel]]</f>
        <v>10905029.100000001</v>
      </c>
    </row>
    <row r="93" spans="1:24" x14ac:dyDescent="0.35">
      <c r="A93" t="s">
        <v>18</v>
      </c>
      <c r="B93" t="s">
        <v>41</v>
      </c>
      <c r="C93" t="s">
        <v>47</v>
      </c>
      <c r="D93" s="5">
        <v>781063</v>
      </c>
      <c r="E93" s="5">
        <v>1985</v>
      </c>
      <c r="F93" s="5">
        <v>1921</v>
      </c>
      <c r="G93" s="3" t="s">
        <v>31</v>
      </c>
      <c r="H93" s="4">
        <v>12.82</v>
      </c>
      <c r="I93" s="4">
        <v>9.02</v>
      </c>
      <c r="J93" s="5">
        <v>326309</v>
      </c>
      <c r="K93" s="5">
        <v>328462</v>
      </c>
      <c r="L93" s="5">
        <v>126290</v>
      </c>
      <c r="M93" s="3" t="s">
        <v>17</v>
      </c>
      <c r="N93" s="10">
        <v>12878</v>
      </c>
      <c r="O93" s="12">
        <f>(Fact_Table[[#This Row],[Petrol_Output_BPD]]+Fact_Table[[#This Row],[Diesel_Output_BPD]]+Fact_Table[[#This Row],[Gas_Output_BPD]])/Fact_Table[[#This Row],[No_of_Employees]]</f>
        <v>406.59083810515358</v>
      </c>
      <c r="P93" s="2" t="str">
        <f>IF(Fact_Table[[#This Row],[0/P Producyivity/Day]]&gt;=1000,"High",IF(Fact_Table[[#This Row],[0/P Producyivity/Day]]&gt;=500,"Medium","Low"))</f>
        <v>Low</v>
      </c>
      <c r="Q93" s="10">
        <f>Fact_Table[[#This Row],[Capacity_BPD]]/Fact_Table[[#This Row],[Average_Salary_AED]]</f>
        <v>60.650955117254234</v>
      </c>
      <c r="R93" s="15">
        <f>(Fact_Table[[#This Row],[Petrol_Output_BPD]]/Fact_Table[[#This Row],[Capacity_BPD]])</f>
        <v>0.41777551874816754</v>
      </c>
      <c r="S93" s="15">
        <f>Fact_Table[[#This Row],[Diesel_Output_BPD]]/Fact_Table[[#This Row],[Capacity_BPD]]</f>
        <v>0.42053201854395866</v>
      </c>
      <c r="T93" s="15">
        <f>Fact_Table[[#This Row],[Gas_Output_BPD]]/Fact_Table[[#This Row],[Capacity_BPD]]</f>
        <v>0.16168990209496545</v>
      </c>
      <c r="U93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93" s="8">
        <f ca="1">YEAR(TODAY())-Fact_Table[[#This Row],[Commissioned_Year]]</f>
        <v>40</v>
      </c>
      <c r="W93" s="40" cm="1">
        <f t="array" ref="W93">_xlfn.XLOOKUP(Fact_Table[[#This Row],[Commissioned_Year]],cost_table[[#All],[Year]],cost_table[[#All],[Average_Crude_Price_USD_per_Barrel]],"0")</f>
        <v>26</v>
      </c>
      <c r="X93" s="40">
        <f>Fact_Table[[#This Row],[Capacity_BPD]]*Fact_Table[[#This Row],[cost per barrel]]</f>
        <v>20307638</v>
      </c>
    </row>
    <row r="94" spans="1:24" x14ac:dyDescent="0.35">
      <c r="A94" t="s">
        <v>60</v>
      </c>
      <c r="B94" t="s">
        <v>25</v>
      </c>
      <c r="C94" t="s">
        <v>39</v>
      </c>
      <c r="D94" s="5">
        <v>446053</v>
      </c>
      <c r="E94" s="5">
        <v>1994</v>
      </c>
      <c r="F94" s="5">
        <v>800</v>
      </c>
      <c r="G94" s="3" t="s">
        <v>21</v>
      </c>
      <c r="H94" s="4">
        <v>8.41</v>
      </c>
      <c r="I94" s="4">
        <v>6.01</v>
      </c>
      <c r="J94" s="5">
        <v>184612</v>
      </c>
      <c r="K94" s="5">
        <v>163082</v>
      </c>
      <c r="L94" s="5">
        <v>98357</v>
      </c>
      <c r="M94" s="3" t="s">
        <v>38</v>
      </c>
      <c r="N94" s="10">
        <v>24738</v>
      </c>
      <c r="O94" s="12">
        <f>(Fact_Table[[#This Row],[Petrol_Output_BPD]]+Fact_Table[[#This Row],[Diesel_Output_BPD]]+Fact_Table[[#This Row],[Gas_Output_BPD]])/Fact_Table[[#This Row],[No_of_Employees]]</f>
        <v>557.56375000000003</v>
      </c>
      <c r="P94" s="2" t="str">
        <f>IF(Fact_Table[[#This Row],[0/P Producyivity/Day]]&gt;=1000,"High",IF(Fact_Table[[#This Row],[0/P Producyivity/Day]]&gt;=500,"Medium","Low"))</f>
        <v>Medium</v>
      </c>
      <c r="Q94" s="10">
        <f>Fact_Table[[#This Row],[Capacity_BPD]]/Fact_Table[[#This Row],[Average_Salary_AED]]</f>
        <v>18.031085778963536</v>
      </c>
      <c r="R94" s="15">
        <f>(Fact_Table[[#This Row],[Petrol_Output_BPD]]/Fact_Table[[#This Row],[Capacity_BPD]])</f>
        <v>0.41387906818248055</v>
      </c>
      <c r="S94" s="15">
        <f>Fact_Table[[#This Row],[Diesel_Output_BPD]]/Fact_Table[[#This Row],[Capacity_BPD]]</f>
        <v>0.36561126144202594</v>
      </c>
      <c r="T94" s="15">
        <f>Fact_Table[[#This Row],[Gas_Output_BPD]]/Fact_Table[[#This Row],[Capacity_BPD]]</f>
        <v>0.22050518660338569</v>
      </c>
      <c r="U94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94" s="8">
        <f ca="1">YEAR(TODAY())-Fact_Table[[#This Row],[Commissioned_Year]]</f>
        <v>31</v>
      </c>
      <c r="W94" s="40" cm="1">
        <f t="array" ref="W94">_xlfn.XLOOKUP(Fact_Table[[#This Row],[Commissioned_Year]],cost_table[[#All],[Year]],cost_table[[#All],[Average_Crude_Price_USD_per_Barrel]],"0")</f>
        <v>15.9</v>
      </c>
      <c r="X94" s="40">
        <f>Fact_Table[[#This Row],[Capacity_BPD]]*Fact_Table[[#This Row],[cost per barrel]]</f>
        <v>7092242.7000000002</v>
      </c>
    </row>
    <row r="95" spans="1:24" x14ac:dyDescent="0.35">
      <c r="A95" t="s">
        <v>37</v>
      </c>
      <c r="B95" t="s">
        <v>26</v>
      </c>
      <c r="C95" t="s">
        <v>49</v>
      </c>
      <c r="D95" s="5">
        <v>321869</v>
      </c>
      <c r="E95" s="5">
        <v>2007</v>
      </c>
      <c r="F95" s="5">
        <v>2302</v>
      </c>
      <c r="G95" s="3" t="s">
        <v>28</v>
      </c>
      <c r="H95" s="4">
        <v>21.8</v>
      </c>
      <c r="I95" s="4">
        <v>5.57</v>
      </c>
      <c r="J95" s="5">
        <v>107948</v>
      </c>
      <c r="K95" s="5">
        <v>122321</v>
      </c>
      <c r="L95" s="5">
        <v>91598</v>
      </c>
      <c r="M95" s="3" t="s">
        <v>29</v>
      </c>
      <c r="N95" s="10">
        <v>17192</v>
      </c>
      <c r="O95" s="12">
        <f>(Fact_Table[[#This Row],[Petrol_Output_BPD]]+Fact_Table[[#This Row],[Diesel_Output_BPD]]+Fact_Table[[#This Row],[Gas_Output_BPD]])/Fact_Table[[#This Row],[No_of_Employees]]</f>
        <v>139.82059079061685</v>
      </c>
      <c r="P95" s="2" t="str">
        <f>IF(Fact_Table[[#This Row],[0/P Producyivity/Day]]&gt;=1000,"High",IF(Fact_Table[[#This Row],[0/P Producyivity/Day]]&gt;=500,"Medium","Low"))</f>
        <v>Low</v>
      </c>
      <c r="Q95" s="10">
        <f>Fact_Table[[#This Row],[Capacity_BPD]]/Fact_Table[[#This Row],[Average_Salary_AED]]</f>
        <v>18.722021870637505</v>
      </c>
      <c r="R95" s="15">
        <f>(Fact_Table[[#This Row],[Petrol_Output_BPD]]/Fact_Table[[#This Row],[Capacity_BPD]])</f>
        <v>0.33537867890352907</v>
      </c>
      <c r="S95" s="15">
        <f>Fact_Table[[#This Row],[Diesel_Output_BPD]]/Fact_Table[[#This Row],[Capacity_BPD]]</f>
        <v>0.38003349188645069</v>
      </c>
      <c r="T95" s="15">
        <f>Fact_Table[[#This Row],[Gas_Output_BPD]]/Fact_Table[[#This Row],[Capacity_BPD]]</f>
        <v>0.28458161550195887</v>
      </c>
      <c r="U95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95" s="8">
        <f ca="1">YEAR(TODAY())-Fact_Table[[#This Row],[Commissioned_Year]]</f>
        <v>18</v>
      </c>
      <c r="W95" s="40" cm="1">
        <f t="array" ref="W95">_xlfn.XLOOKUP(Fact_Table[[#This Row],[Commissioned_Year]],cost_table[[#All],[Year]],cost_table[[#All],[Average_Crude_Price_USD_per_Barrel]],"0")</f>
        <v>24.4</v>
      </c>
      <c r="X95" s="40">
        <f>Fact_Table[[#This Row],[Capacity_BPD]]*Fact_Table[[#This Row],[cost per barrel]]</f>
        <v>7853603.5999999996</v>
      </c>
    </row>
    <row r="96" spans="1:24" x14ac:dyDescent="0.35">
      <c r="A96" t="s">
        <v>45</v>
      </c>
      <c r="B96" t="s">
        <v>40</v>
      </c>
      <c r="C96" t="s">
        <v>33</v>
      </c>
      <c r="D96" s="5">
        <v>512859</v>
      </c>
      <c r="E96" s="5">
        <v>2003</v>
      </c>
      <c r="F96" s="5">
        <v>650</v>
      </c>
      <c r="G96" s="3" t="s">
        <v>16</v>
      </c>
      <c r="H96" s="4">
        <v>4.4800000000000004</v>
      </c>
      <c r="I96" s="4">
        <v>5.9</v>
      </c>
      <c r="J96" s="5">
        <v>168276</v>
      </c>
      <c r="K96" s="5">
        <v>215994</v>
      </c>
      <c r="L96" s="5">
        <v>128587</v>
      </c>
      <c r="M96" s="3" t="s">
        <v>17</v>
      </c>
      <c r="N96" s="10">
        <v>10329</v>
      </c>
      <c r="O96" s="12">
        <f>(Fact_Table[[#This Row],[Petrol_Output_BPD]]+Fact_Table[[#This Row],[Diesel_Output_BPD]]+Fact_Table[[#This Row],[Gas_Output_BPD]])/Fact_Table[[#This Row],[No_of_Employees]]</f>
        <v>789.01076923076926</v>
      </c>
      <c r="P96" s="2" t="str">
        <f>IF(Fact_Table[[#This Row],[0/P Producyivity/Day]]&gt;=1000,"High",IF(Fact_Table[[#This Row],[0/P Producyivity/Day]]&gt;=500,"Medium","Low"))</f>
        <v>Medium</v>
      </c>
      <c r="Q96" s="10">
        <f>Fact_Table[[#This Row],[Capacity_BPD]]/Fact_Table[[#This Row],[Average_Salary_AED]]</f>
        <v>49.652338077258207</v>
      </c>
      <c r="R96" s="15">
        <f>(Fact_Table[[#This Row],[Petrol_Output_BPD]]/Fact_Table[[#This Row],[Capacity_BPD]])</f>
        <v>0.32811357507619054</v>
      </c>
      <c r="S96" s="15">
        <f>Fact_Table[[#This Row],[Diesel_Output_BPD]]/Fact_Table[[#This Row],[Capacity_BPD]]</f>
        <v>0.42115669219025115</v>
      </c>
      <c r="T96" s="15">
        <f>Fact_Table[[#This Row],[Gas_Output_BPD]]/Fact_Table[[#This Row],[Capacity_BPD]]</f>
        <v>0.25072583302623136</v>
      </c>
      <c r="U9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96" s="8">
        <f ca="1">YEAR(TODAY())-Fact_Table[[#This Row],[Commissioned_Year]]</f>
        <v>22</v>
      </c>
      <c r="W96" s="40" cm="1">
        <f t="array" ref="W96">_xlfn.XLOOKUP(Fact_Table[[#This Row],[Commissioned_Year]],cost_table[[#All],[Year]],cost_table[[#All],[Average_Crude_Price_USD_per_Barrel]],"0")</f>
        <v>17.2</v>
      </c>
      <c r="X96" s="40">
        <f>Fact_Table[[#This Row],[Capacity_BPD]]*Fact_Table[[#This Row],[cost per barrel]]</f>
        <v>8821174.7999999989</v>
      </c>
    </row>
    <row r="97" spans="1:24" x14ac:dyDescent="0.35">
      <c r="A97" t="s">
        <v>37</v>
      </c>
      <c r="B97" t="s">
        <v>25</v>
      </c>
      <c r="C97" t="s">
        <v>51</v>
      </c>
      <c r="D97" s="5">
        <v>100519</v>
      </c>
      <c r="E97" s="5">
        <v>1982</v>
      </c>
      <c r="F97" s="5">
        <v>1717</v>
      </c>
      <c r="G97" s="3" t="s">
        <v>31</v>
      </c>
      <c r="H97" s="4">
        <v>26.31</v>
      </c>
      <c r="I97" s="4">
        <v>6.41</v>
      </c>
      <c r="J97" s="5">
        <v>39937</v>
      </c>
      <c r="K97" s="5">
        <v>41105</v>
      </c>
      <c r="L97" s="5">
        <v>19475</v>
      </c>
      <c r="M97" s="3" t="s">
        <v>17</v>
      </c>
      <c r="N97" s="10">
        <v>20337</v>
      </c>
      <c r="O97" s="12">
        <f>(Fact_Table[[#This Row],[Petrol_Output_BPD]]+Fact_Table[[#This Row],[Diesel_Output_BPD]]+Fact_Table[[#This Row],[Gas_Output_BPD]])/Fact_Table[[#This Row],[No_of_Employees]]</f>
        <v>58.542224810716363</v>
      </c>
      <c r="P97" s="2" t="str">
        <f>IF(Fact_Table[[#This Row],[0/P Producyivity/Day]]&gt;=1000,"High",IF(Fact_Table[[#This Row],[0/P Producyivity/Day]]&gt;=500,"Medium","Low"))</f>
        <v>Low</v>
      </c>
      <c r="Q97" s="10">
        <f>Fact_Table[[#This Row],[Capacity_BPD]]/Fact_Table[[#This Row],[Average_Salary_AED]]</f>
        <v>4.9426660766091359</v>
      </c>
      <c r="R97" s="15">
        <f>(Fact_Table[[#This Row],[Petrol_Output_BPD]]/Fact_Table[[#This Row],[Capacity_BPD]])</f>
        <v>0.39730797162725456</v>
      </c>
      <c r="S97" s="15">
        <f>Fact_Table[[#This Row],[Diesel_Output_BPD]]/Fact_Table[[#This Row],[Capacity_BPD]]</f>
        <v>0.40892766541648845</v>
      </c>
      <c r="T97" s="15">
        <f>Fact_Table[[#This Row],[Gas_Output_BPD]]/Fact_Table[[#This Row],[Capacity_BPD]]</f>
        <v>0.19374446622031655</v>
      </c>
      <c r="U97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97" s="8">
        <f ca="1">YEAR(TODAY())-Fact_Table[[#This Row],[Commissioned_Year]]</f>
        <v>43</v>
      </c>
      <c r="W97" s="40" cm="1">
        <f t="array" ref="W97">_xlfn.XLOOKUP(Fact_Table[[#This Row],[Commissioned_Year]],cost_table[[#All],[Year]],cost_table[[#All],[Average_Crude_Price_USD_per_Barrel]],"0")</f>
        <v>32.799999999999997</v>
      </c>
      <c r="X97" s="40">
        <f>Fact_Table[[#This Row],[Capacity_BPD]]*Fact_Table[[#This Row],[cost per barrel]]</f>
        <v>3297023.1999999997</v>
      </c>
    </row>
    <row r="98" spans="1:24" x14ac:dyDescent="0.35">
      <c r="A98" t="s">
        <v>24</v>
      </c>
      <c r="B98" t="s">
        <v>25</v>
      </c>
      <c r="C98" t="s">
        <v>51</v>
      </c>
      <c r="D98" s="5">
        <v>104578</v>
      </c>
      <c r="E98" s="5">
        <v>2005</v>
      </c>
      <c r="F98" s="5">
        <v>1274</v>
      </c>
      <c r="G98" s="3" t="s">
        <v>31</v>
      </c>
      <c r="H98" s="4">
        <v>2.91</v>
      </c>
      <c r="I98" s="4">
        <v>8.4</v>
      </c>
      <c r="J98" s="5">
        <v>30668</v>
      </c>
      <c r="K98" s="5">
        <v>46209</v>
      </c>
      <c r="L98" s="5">
        <v>27700</v>
      </c>
      <c r="M98" s="3" t="s">
        <v>38</v>
      </c>
      <c r="N98" s="10">
        <v>11555</v>
      </c>
      <c r="O98" s="12">
        <f>(Fact_Table[[#This Row],[Petrol_Output_BPD]]+Fact_Table[[#This Row],[Diesel_Output_BPD]]+Fact_Table[[#This Row],[Gas_Output_BPD]])/Fact_Table[[#This Row],[No_of_Employees]]</f>
        <v>82.085557299843018</v>
      </c>
      <c r="P98" s="2" t="str">
        <f>IF(Fact_Table[[#This Row],[0/P Producyivity/Day]]&gt;=1000,"High",IF(Fact_Table[[#This Row],[0/P Producyivity/Day]]&gt;=500,"Medium","Low"))</f>
        <v>Low</v>
      </c>
      <c r="Q98" s="10">
        <f>Fact_Table[[#This Row],[Capacity_BPD]]/Fact_Table[[#This Row],[Average_Salary_AED]]</f>
        <v>9.0504543487667668</v>
      </c>
      <c r="R98" s="15">
        <f>(Fact_Table[[#This Row],[Petrol_Output_BPD]]/Fact_Table[[#This Row],[Capacity_BPD]])</f>
        <v>0.29325479546367306</v>
      </c>
      <c r="S98" s="15">
        <f>Fact_Table[[#This Row],[Diesel_Output_BPD]]/Fact_Table[[#This Row],[Capacity_BPD]]</f>
        <v>0.44186157700472373</v>
      </c>
      <c r="T98" s="15">
        <f>Fact_Table[[#This Row],[Gas_Output_BPD]]/Fact_Table[[#This Row],[Capacity_BPD]]</f>
        <v>0.26487406529097896</v>
      </c>
      <c r="U98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98" s="8">
        <f ca="1">YEAR(TODAY())-Fact_Table[[#This Row],[Commissioned_Year]]</f>
        <v>20</v>
      </c>
      <c r="W98" s="40" cm="1">
        <f t="array" ref="W98">_xlfn.XLOOKUP(Fact_Table[[#This Row],[Commissioned_Year]],cost_table[[#All],[Year]],cost_table[[#All],[Average_Crude_Price_USD_per_Barrel]],"0")</f>
        <v>25</v>
      </c>
      <c r="X98" s="40">
        <f>Fact_Table[[#This Row],[Capacity_BPD]]*Fact_Table[[#This Row],[cost per barrel]]</f>
        <v>2614450</v>
      </c>
    </row>
    <row r="99" spans="1:24" x14ac:dyDescent="0.35">
      <c r="A99" t="s">
        <v>30</v>
      </c>
      <c r="B99" t="s">
        <v>19</v>
      </c>
      <c r="C99" t="s">
        <v>51</v>
      </c>
      <c r="D99" s="5">
        <v>354407</v>
      </c>
      <c r="E99" s="5">
        <v>1997</v>
      </c>
      <c r="F99" s="5">
        <v>1972</v>
      </c>
      <c r="G99" s="3" t="s">
        <v>21</v>
      </c>
      <c r="H99" s="4">
        <v>11.67</v>
      </c>
      <c r="I99" s="4">
        <v>9.11</v>
      </c>
      <c r="J99" s="5">
        <v>140585</v>
      </c>
      <c r="K99" s="5">
        <v>129535</v>
      </c>
      <c r="L99" s="5">
        <v>84285</v>
      </c>
      <c r="M99" s="3" t="s">
        <v>38</v>
      </c>
      <c r="N99" s="10">
        <v>13726</v>
      </c>
      <c r="O99" s="12">
        <f>(Fact_Table[[#This Row],[Petrol_Output_BPD]]+Fact_Table[[#This Row],[Diesel_Output_BPD]]+Fact_Table[[#This Row],[Gas_Output_BPD]])/Fact_Table[[#This Row],[No_of_Employees]]</f>
        <v>179.71855983772821</v>
      </c>
      <c r="P99" s="2" t="str">
        <f>IF(Fact_Table[[#This Row],[0/P Producyivity/Day]]&gt;=1000,"High",IF(Fact_Table[[#This Row],[0/P Producyivity/Day]]&gt;=500,"Medium","Low"))</f>
        <v>Low</v>
      </c>
      <c r="Q99" s="10">
        <f>Fact_Table[[#This Row],[Capacity_BPD]]/Fact_Table[[#This Row],[Average_Salary_AED]]</f>
        <v>25.820122395453883</v>
      </c>
      <c r="R99" s="15">
        <f>(Fact_Table[[#This Row],[Petrol_Output_BPD]]/Fact_Table[[#This Row],[Capacity_BPD]])</f>
        <v>0.39667670220960649</v>
      </c>
      <c r="S99" s="15">
        <f>Fact_Table[[#This Row],[Diesel_Output_BPD]]/Fact_Table[[#This Row],[Capacity_BPD]]</f>
        <v>0.36549785980525218</v>
      </c>
      <c r="T99" s="15">
        <f>Fact_Table[[#This Row],[Gas_Output_BPD]]/Fact_Table[[#This Row],[Capacity_BPD]]</f>
        <v>0.23781979475574691</v>
      </c>
      <c r="U99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99" s="8">
        <f ca="1">YEAR(TODAY())-Fact_Table[[#This Row],[Commissioned_Year]]</f>
        <v>28</v>
      </c>
      <c r="W99" s="40" cm="1">
        <f t="array" ref="W99">_xlfn.XLOOKUP(Fact_Table[[#This Row],[Commissioned_Year]],cost_table[[#All],[Year]],cost_table[[#All],[Average_Crude_Price_USD_per_Barrel]],"0")</f>
        <v>15</v>
      </c>
      <c r="X99" s="40">
        <f>Fact_Table[[#This Row],[Capacity_BPD]]*Fact_Table[[#This Row],[cost per barrel]]</f>
        <v>5316105</v>
      </c>
    </row>
    <row r="100" spans="1:24" x14ac:dyDescent="0.35">
      <c r="A100" t="s">
        <v>45</v>
      </c>
      <c r="B100" t="s">
        <v>19</v>
      </c>
      <c r="C100" t="s">
        <v>20</v>
      </c>
      <c r="D100" s="5">
        <v>263572</v>
      </c>
      <c r="E100" s="5">
        <v>1996</v>
      </c>
      <c r="F100" s="5">
        <v>1428</v>
      </c>
      <c r="G100" s="3" t="s">
        <v>16</v>
      </c>
      <c r="H100" s="4">
        <v>2.1</v>
      </c>
      <c r="I100" s="4">
        <v>7.6</v>
      </c>
      <c r="J100" s="5">
        <v>96817</v>
      </c>
      <c r="K100" s="5">
        <v>125493</v>
      </c>
      <c r="L100" s="5">
        <v>41261</v>
      </c>
      <c r="M100" s="3" t="s">
        <v>29</v>
      </c>
      <c r="N100" s="10">
        <v>9487</v>
      </c>
      <c r="O100" s="12">
        <f>(Fact_Table[[#This Row],[Petrol_Output_BPD]]+Fact_Table[[#This Row],[Diesel_Output_BPD]]+Fact_Table[[#This Row],[Gas_Output_BPD]])/Fact_Table[[#This Row],[No_of_Employees]]</f>
        <v>184.5735294117647</v>
      </c>
      <c r="P100" s="2" t="str">
        <f>IF(Fact_Table[[#This Row],[0/P Producyivity/Day]]&gt;=1000,"High",IF(Fact_Table[[#This Row],[0/P Producyivity/Day]]&gt;=500,"Medium","Low"))</f>
        <v>Low</v>
      </c>
      <c r="Q100" s="10">
        <f>Fact_Table[[#This Row],[Capacity_BPD]]/Fact_Table[[#This Row],[Average_Salary_AED]]</f>
        <v>27.782439127226731</v>
      </c>
      <c r="R100" s="15">
        <f>(Fact_Table[[#This Row],[Petrol_Output_BPD]]/Fact_Table[[#This Row],[Capacity_BPD]])</f>
        <v>0.36732657490173465</v>
      </c>
      <c r="S100" s="15">
        <f>Fact_Table[[#This Row],[Diesel_Output_BPD]]/Fact_Table[[#This Row],[Capacity_BPD]]</f>
        <v>0.47612417100450732</v>
      </c>
      <c r="T100" s="15">
        <f>Fact_Table[[#This Row],[Gas_Output_BPD]]/Fact_Table[[#This Row],[Capacity_BPD]]</f>
        <v>0.15654546006404321</v>
      </c>
      <c r="U100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00" s="8">
        <f ca="1">YEAR(TODAY())-Fact_Table[[#This Row],[Commissioned_Year]]</f>
        <v>29</v>
      </c>
      <c r="W100" s="40" cm="1">
        <f t="array" ref="W100">_xlfn.XLOOKUP(Fact_Table[[#This Row],[Commissioned_Year]],cost_table[[#All],[Year]],cost_table[[#All],[Average_Crude_Price_USD_per_Barrel]],"0")</f>
        <v>18</v>
      </c>
      <c r="X100" s="40">
        <f>Fact_Table[[#This Row],[Capacity_BPD]]*Fact_Table[[#This Row],[cost per barrel]]</f>
        <v>4744296</v>
      </c>
    </row>
    <row r="101" spans="1:24" x14ac:dyDescent="0.35">
      <c r="A101" t="s">
        <v>35</v>
      </c>
      <c r="B101" t="s">
        <v>41</v>
      </c>
      <c r="C101" t="s">
        <v>39</v>
      </c>
      <c r="D101" s="5">
        <v>324384</v>
      </c>
      <c r="E101" s="5">
        <v>1992</v>
      </c>
      <c r="F101" s="5">
        <v>978</v>
      </c>
      <c r="G101" s="3" t="s">
        <v>28</v>
      </c>
      <c r="H101" s="4">
        <v>8.9</v>
      </c>
      <c r="I101" s="4">
        <v>6.11</v>
      </c>
      <c r="J101" s="5">
        <v>123153</v>
      </c>
      <c r="K101" s="5">
        <v>166205</v>
      </c>
      <c r="L101" s="5">
        <v>35024</v>
      </c>
      <c r="M101" s="3" t="s">
        <v>17</v>
      </c>
      <c r="N101" s="10">
        <v>16428</v>
      </c>
      <c r="O101" s="12">
        <f>(Fact_Table[[#This Row],[Petrol_Output_BPD]]+Fact_Table[[#This Row],[Diesel_Output_BPD]]+Fact_Table[[#This Row],[Gas_Output_BPD]])/Fact_Table[[#This Row],[No_of_Employees]]</f>
        <v>331.67893660531695</v>
      </c>
      <c r="P101" s="2" t="str">
        <f>IF(Fact_Table[[#This Row],[0/P Producyivity/Day]]&gt;=1000,"High",IF(Fact_Table[[#This Row],[0/P Producyivity/Day]]&gt;=500,"Medium","Low"))</f>
        <v>Low</v>
      </c>
      <c r="Q101" s="10">
        <f>Fact_Table[[#This Row],[Capacity_BPD]]/Fact_Table[[#This Row],[Average_Salary_AED]]</f>
        <v>19.745799853907961</v>
      </c>
      <c r="R101" s="15">
        <f>(Fact_Table[[#This Row],[Petrol_Output_BPD]]/Fact_Table[[#This Row],[Capacity_BPD]])</f>
        <v>0.37965189405149452</v>
      </c>
      <c r="S101" s="15">
        <f>Fact_Table[[#This Row],[Diesel_Output_BPD]]/Fact_Table[[#This Row],[Capacity_BPD]]</f>
        <v>0.51237114037683729</v>
      </c>
      <c r="T101" s="15">
        <f>Fact_Table[[#This Row],[Gas_Output_BPD]]/Fact_Table[[#This Row],[Capacity_BPD]]</f>
        <v>0.1079708000394594</v>
      </c>
      <c r="U10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01" s="8">
        <f ca="1">YEAR(TODAY())-Fact_Table[[#This Row],[Commissioned_Year]]</f>
        <v>33</v>
      </c>
      <c r="W101" s="40" cm="1">
        <f t="array" ref="W101">_xlfn.XLOOKUP(Fact_Table[[#This Row],[Commissioned_Year]],cost_table[[#All],[Year]],cost_table[[#All],[Average_Crude_Price_USD_per_Barrel]],"0")</f>
        <v>14.4</v>
      </c>
      <c r="X101" s="40">
        <f>Fact_Table[[#This Row],[Capacity_BPD]]*Fact_Table[[#This Row],[cost per barrel]]</f>
        <v>4671129.6000000006</v>
      </c>
    </row>
    <row r="102" spans="1:24" x14ac:dyDescent="0.35">
      <c r="A102" t="s">
        <v>18</v>
      </c>
      <c r="B102" t="s">
        <v>14</v>
      </c>
      <c r="C102" t="s">
        <v>46</v>
      </c>
      <c r="D102" s="5">
        <v>271194</v>
      </c>
      <c r="E102" s="5">
        <v>2022</v>
      </c>
      <c r="F102" s="5">
        <v>2456</v>
      </c>
      <c r="G102" s="3" t="s">
        <v>28</v>
      </c>
      <c r="H102" s="4">
        <v>2.74</v>
      </c>
      <c r="I102" s="4">
        <v>7.6</v>
      </c>
      <c r="J102" s="5">
        <v>80330</v>
      </c>
      <c r="K102" s="5">
        <v>139599</v>
      </c>
      <c r="L102" s="5">
        <v>51264</v>
      </c>
      <c r="M102" s="3" t="s">
        <v>23</v>
      </c>
      <c r="N102" s="10">
        <v>14479</v>
      </c>
      <c r="O102" s="12">
        <f>(Fact_Table[[#This Row],[Petrol_Output_BPD]]+Fact_Table[[#This Row],[Diesel_Output_BPD]]+Fact_Table[[#This Row],[Gas_Output_BPD]])/Fact_Table[[#This Row],[No_of_Employees]]</f>
        <v>110.42060260586319</v>
      </c>
      <c r="P102" s="2" t="str">
        <f>IF(Fact_Table[[#This Row],[0/P Producyivity/Day]]&gt;=1000,"High",IF(Fact_Table[[#This Row],[0/P Producyivity/Day]]&gt;=500,"Medium","Low"))</f>
        <v>Low</v>
      </c>
      <c r="Q102" s="10">
        <f>Fact_Table[[#This Row],[Capacity_BPD]]/Fact_Table[[#This Row],[Average_Salary_AED]]</f>
        <v>18.730160922715658</v>
      </c>
      <c r="R102" s="15">
        <f>(Fact_Table[[#This Row],[Petrol_Output_BPD]]/Fact_Table[[#This Row],[Capacity_BPD]])</f>
        <v>0.29620861818476812</v>
      </c>
      <c r="S102" s="15">
        <f>Fact_Table[[#This Row],[Diesel_Output_BPD]]/Fact_Table[[#This Row],[Capacity_BPD]]</f>
        <v>0.5147569636496383</v>
      </c>
      <c r="T102" s="15">
        <f>Fact_Table[[#This Row],[Gas_Output_BPD]]/Fact_Table[[#This Row],[Capacity_BPD]]</f>
        <v>0.18903073076837984</v>
      </c>
      <c r="U10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02" s="8">
        <f ca="1">YEAR(TODAY())-Fact_Table[[#This Row],[Commissioned_Year]]</f>
        <v>3</v>
      </c>
      <c r="W102" s="40" cm="1">
        <f t="array" ref="W102">_xlfn.XLOOKUP(Fact_Table[[#This Row],[Commissioned_Year]],cost_table[[#All],[Year]],cost_table[[#All],[Average_Crude_Price_USD_per_Barrel]],"0")</f>
        <v>71.3</v>
      </c>
      <c r="X102" s="40">
        <f>Fact_Table[[#This Row],[Capacity_BPD]]*Fact_Table[[#This Row],[cost per barrel]]</f>
        <v>19336132.199999999</v>
      </c>
    </row>
    <row r="103" spans="1:24" x14ac:dyDescent="0.35">
      <c r="A103" t="s">
        <v>30</v>
      </c>
      <c r="B103" t="s">
        <v>19</v>
      </c>
      <c r="C103" t="s">
        <v>33</v>
      </c>
      <c r="D103" s="5">
        <v>842484</v>
      </c>
      <c r="E103" s="5">
        <v>2000</v>
      </c>
      <c r="F103" s="5">
        <v>1895</v>
      </c>
      <c r="G103" s="3" t="s">
        <v>21</v>
      </c>
      <c r="H103" s="4">
        <v>22.82</v>
      </c>
      <c r="I103" s="4">
        <v>6.9</v>
      </c>
      <c r="J103" s="5">
        <v>375236</v>
      </c>
      <c r="K103" s="5">
        <v>293852</v>
      </c>
      <c r="L103" s="5">
        <v>173394</v>
      </c>
      <c r="M103" s="3" t="s">
        <v>17</v>
      </c>
      <c r="N103" s="10">
        <v>22954</v>
      </c>
      <c r="O103" s="12">
        <f>(Fact_Table[[#This Row],[Petrol_Output_BPD]]+Fact_Table[[#This Row],[Diesel_Output_BPD]]+Fact_Table[[#This Row],[Gas_Output_BPD]])/Fact_Table[[#This Row],[No_of_Employees]]</f>
        <v>444.5815303430079</v>
      </c>
      <c r="P103" s="2" t="str">
        <f>IF(Fact_Table[[#This Row],[0/P Producyivity/Day]]&gt;=1000,"High",IF(Fact_Table[[#This Row],[0/P Producyivity/Day]]&gt;=500,"Medium","Low"))</f>
        <v>Low</v>
      </c>
      <c r="Q103" s="10">
        <f>Fact_Table[[#This Row],[Capacity_BPD]]/Fact_Table[[#This Row],[Average_Salary_AED]]</f>
        <v>36.703145421277334</v>
      </c>
      <c r="R103" s="15">
        <f>(Fact_Table[[#This Row],[Petrol_Output_BPD]]/Fact_Table[[#This Row],[Capacity_BPD]])</f>
        <v>0.44539243475247009</v>
      </c>
      <c r="S103" s="15">
        <f>Fact_Table[[#This Row],[Diesel_Output_BPD]]/Fact_Table[[#This Row],[Capacity_BPD]]</f>
        <v>0.34879238062681311</v>
      </c>
      <c r="T103" s="15">
        <f>Fact_Table[[#This Row],[Gas_Output_BPD]]/Fact_Table[[#This Row],[Capacity_BPD]]</f>
        <v>0.20581281068839288</v>
      </c>
      <c r="U103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03" s="8">
        <f ca="1">YEAR(TODAY())-Fact_Table[[#This Row],[Commissioned_Year]]</f>
        <v>25</v>
      </c>
      <c r="W103" s="40" cm="1">
        <f t="array" ref="W103">_xlfn.XLOOKUP(Fact_Table[[#This Row],[Commissioned_Year]],cost_table[[#All],[Year]],cost_table[[#All],[Average_Crude_Price_USD_per_Barrel]],"0")</f>
        <v>23.1</v>
      </c>
      <c r="X103" s="40">
        <f>Fact_Table[[#This Row],[Capacity_BPD]]*Fact_Table[[#This Row],[cost per barrel]]</f>
        <v>19461380.400000002</v>
      </c>
    </row>
    <row r="104" spans="1:24" x14ac:dyDescent="0.35">
      <c r="A104" t="s">
        <v>30</v>
      </c>
      <c r="B104" t="s">
        <v>40</v>
      </c>
      <c r="C104" t="s">
        <v>51</v>
      </c>
      <c r="D104" s="5">
        <v>692736</v>
      </c>
      <c r="E104" s="5">
        <v>2017</v>
      </c>
      <c r="F104" s="5">
        <v>1923</v>
      </c>
      <c r="G104" s="3" t="s">
        <v>21</v>
      </c>
      <c r="H104" s="4">
        <v>27.24</v>
      </c>
      <c r="I104" s="4">
        <v>5.4</v>
      </c>
      <c r="J104" s="5">
        <v>237972</v>
      </c>
      <c r="K104" s="5">
        <v>320079</v>
      </c>
      <c r="L104" s="5">
        <v>134683</v>
      </c>
      <c r="M104" s="3" t="s">
        <v>23</v>
      </c>
      <c r="N104" s="10">
        <v>21342</v>
      </c>
      <c r="O104" s="12">
        <f>(Fact_Table[[#This Row],[Petrol_Output_BPD]]+Fact_Table[[#This Row],[Diesel_Output_BPD]]+Fact_Table[[#This Row],[Gas_Output_BPD]])/Fact_Table[[#This Row],[No_of_Employees]]</f>
        <v>360.23608944357773</v>
      </c>
      <c r="P104" s="2" t="str">
        <f>IF(Fact_Table[[#This Row],[0/P Producyivity/Day]]&gt;=1000,"High",IF(Fact_Table[[#This Row],[0/P Producyivity/Day]]&gt;=500,"Medium","Low"))</f>
        <v>Low</v>
      </c>
      <c r="Q104" s="10">
        <f>Fact_Table[[#This Row],[Capacity_BPD]]/Fact_Table[[#This Row],[Average_Salary_AED]]</f>
        <v>32.458813606972164</v>
      </c>
      <c r="R104" s="15">
        <f>(Fact_Table[[#This Row],[Petrol_Output_BPD]]/Fact_Table[[#This Row],[Capacity_BPD]])</f>
        <v>0.34352480598669621</v>
      </c>
      <c r="S104" s="15">
        <f>Fact_Table[[#This Row],[Diesel_Output_BPD]]/Fact_Table[[#This Row],[Capacity_BPD]]</f>
        <v>0.46205047810421285</v>
      </c>
      <c r="T104" s="15">
        <f>Fact_Table[[#This Row],[Gas_Output_BPD]]/Fact_Table[[#This Row],[Capacity_BPD]]</f>
        <v>0.19442182880635625</v>
      </c>
      <c r="U104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04" s="8">
        <f ca="1">YEAR(TODAY())-Fact_Table[[#This Row],[Commissioned_Year]]</f>
        <v>8</v>
      </c>
      <c r="W104" s="40" cm="1">
        <f t="array" ref="W104">_xlfn.XLOOKUP(Fact_Table[[#This Row],[Commissioned_Year]],cost_table[[#All],[Year]],cost_table[[#All],[Average_Crude_Price_USD_per_Barrel]],"0")</f>
        <v>71.3</v>
      </c>
      <c r="X104" s="40">
        <f>Fact_Table[[#This Row],[Capacity_BPD]]*Fact_Table[[#This Row],[cost per barrel]]</f>
        <v>49392076.799999997</v>
      </c>
    </row>
    <row r="105" spans="1:24" x14ac:dyDescent="0.35">
      <c r="A105" t="s">
        <v>30</v>
      </c>
      <c r="B105" t="s">
        <v>41</v>
      </c>
      <c r="C105" t="s">
        <v>48</v>
      </c>
      <c r="D105" s="5">
        <v>854536</v>
      </c>
      <c r="E105" s="5">
        <v>1978</v>
      </c>
      <c r="F105" s="5">
        <v>1349</v>
      </c>
      <c r="G105" s="3" t="s">
        <v>21</v>
      </c>
      <c r="H105" s="4">
        <v>31.77</v>
      </c>
      <c r="I105" s="4">
        <v>8.19</v>
      </c>
      <c r="J105" s="5">
        <v>290182</v>
      </c>
      <c r="K105" s="5">
        <v>345899</v>
      </c>
      <c r="L105" s="5">
        <v>218453</v>
      </c>
      <c r="M105" s="3" t="s">
        <v>29</v>
      </c>
      <c r="N105" s="10">
        <v>23348</v>
      </c>
      <c r="O105" s="12">
        <f>(Fact_Table[[#This Row],[Petrol_Output_BPD]]+Fact_Table[[#This Row],[Diesel_Output_BPD]]+Fact_Table[[#This Row],[Gas_Output_BPD]])/Fact_Table[[#This Row],[No_of_Employees]]</f>
        <v>633.45737583395112</v>
      </c>
      <c r="P105" s="2" t="str">
        <f>IF(Fact_Table[[#This Row],[0/P Producyivity/Day]]&gt;=1000,"High",IF(Fact_Table[[#This Row],[0/P Producyivity/Day]]&gt;=500,"Medium","Low"))</f>
        <v>Medium</v>
      </c>
      <c r="Q105" s="10">
        <f>Fact_Table[[#This Row],[Capacity_BPD]]/Fact_Table[[#This Row],[Average_Salary_AED]]</f>
        <v>36.599965735823197</v>
      </c>
      <c r="R105" s="15">
        <f>(Fact_Table[[#This Row],[Petrol_Output_BPD]]/Fact_Table[[#This Row],[Capacity_BPD]])</f>
        <v>0.33957843788910003</v>
      </c>
      <c r="S105" s="15">
        <f>Fact_Table[[#This Row],[Diesel_Output_BPD]]/Fact_Table[[#This Row],[Capacity_BPD]]</f>
        <v>0.40477990394787344</v>
      </c>
      <c r="T105" s="15">
        <f>Fact_Table[[#This Row],[Gas_Output_BPD]]/Fact_Table[[#This Row],[Capacity_BPD]]</f>
        <v>0.2556393177116002</v>
      </c>
      <c r="U105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05" s="8">
        <f ca="1">YEAR(TODAY())-Fact_Table[[#This Row],[Commissioned_Year]]</f>
        <v>47</v>
      </c>
      <c r="W105" s="40" cm="1">
        <f t="array" ref="W105">_xlfn.XLOOKUP(Fact_Table[[#This Row],[Commissioned_Year]],cost_table[[#All],[Year]],cost_table[[#All],[Average_Crude_Price_USD_per_Barrel]],"0")</f>
        <v>13</v>
      </c>
      <c r="X105" s="40">
        <f>Fact_Table[[#This Row],[Capacity_BPD]]*Fact_Table[[#This Row],[cost per barrel]]</f>
        <v>11108968</v>
      </c>
    </row>
    <row r="106" spans="1:24" x14ac:dyDescent="0.35">
      <c r="A106" t="s">
        <v>60</v>
      </c>
      <c r="B106" t="s">
        <v>19</v>
      </c>
      <c r="C106" t="s">
        <v>20</v>
      </c>
      <c r="D106" s="5">
        <v>63045</v>
      </c>
      <c r="E106" s="5">
        <v>1977</v>
      </c>
      <c r="F106" s="5">
        <v>2205</v>
      </c>
      <c r="G106" s="3" t="s">
        <v>28</v>
      </c>
      <c r="H106" s="4">
        <v>10.31</v>
      </c>
      <c r="I106" s="4">
        <v>5.24</v>
      </c>
      <c r="J106" s="5">
        <v>25916</v>
      </c>
      <c r="K106" s="5">
        <v>30155</v>
      </c>
      <c r="L106" s="5">
        <v>6973</v>
      </c>
      <c r="M106" s="3" t="s">
        <v>17</v>
      </c>
      <c r="N106" s="10">
        <v>12123</v>
      </c>
      <c r="O106" s="12">
        <f>(Fact_Table[[#This Row],[Petrol_Output_BPD]]+Fact_Table[[#This Row],[Diesel_Output_BPD]]+Fact_Table[[#This Row],[Gas_Output_BPD]])/Fact_Table[[#This Row],[No_of_Employees]]</f>
        <v>28.591383219954647</v>
      </c>
      <c r="P106" s="2" t="str">
        <f>IF(Fact_Table[[#This Row],[0/P Producyivity/Day]]&gt;=1000,"High",IF(Fact_Table[[#This Row],[0/P Producyivity/Day]]&gt;=500,"Medium","Low"))</f>
        <v>Low</v>
      </c>
      <c r="Q106" s="10">
        <f>Fact_Table[[#This Row],[Capacity_BPD]]/Fact_Table[[#This Row],[Average_Salary_AED]]</f>
        <v>5.200445434298441</v>
      </c>
      <c r="R106" s="15">
        <f>(Fact_Table[[#This Row],[Petrol_Output_BPD]]/Fact_Table[[#This Row],[Capacity_BPD]])</f>
        <v>0.41107145689586805</v>
      </c>
      <c r="S106" s="15">
        <f>Fact_Table[[#This Row],[Diesel_Output_BPD]]/Fact_Table[[#This Row],[Capacity_BPD]]</f>
        <v>0.47830914426203508</v>
      </c>
      <c r="T106" s="15">
        <f>Fact_Table[[#This Row],[Gas_Output_BPD]]/Fact_Table[[#This Row],[Capacity_BPD]]</f>
        <v>0.11060353715599969</v>
      </c>
      <c r="U10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06" s="8">
        <f ca="1">YEAR(TODAY())-Fact_Table[[#This Row],[Commissioned_Year]]</f>
        <v>48</v>
      </c>
      <c r="W106" s="40" cm="1">
        <f t="array" ref="W106">_xlfn.XLOOKUP(Fact_Table[[#This Row],[Commissioned_Year]],cost_table[[#All],[Year]],cost_table[[#All],[Average_Crude_Price_USD_per_Barrel]],"0")</f>
        <v>12.8</v>
      </c>
      <c r="X106" s="40">
        <f>Fact_Table[[#This Row],[Capacity_BPD]]*Fact_Table[[#This Row],[cost per barrel]]</f>
        <v>806976</v>
      </c>
    </row>
    <row r="107" spans="1:24" x14ac:dyDescent="0.35">
      <c r="A107" t="s">
        <v>35</v>
      </c>
      <c r="B107" t="s">
        <v>41</v>
      </c>
      <c r="C107" t="s">
        <v>47</v>
      </c>
      <c r="D107" s="5">
        <v>688711</v>
      </c>
      <c r="E107" s="5">
        <v>2023</v>
      </c>
      <c r="F107" s="5">
        <v>2368</v>
      </c>
      <c r="G107" s="3" t="s">
        <v>28</v>
      </c>
      <c r="H107" s="4">
        <v>21.72</v>
      </c>
      <c r="I107" s="4">
        <v>6.42</v>
      </c>
      <c r="J107" s="5">
        <v>235608</v>
      </c>
      <c r="K107" s="5">
        <v>302218</v>
      </c>
      <c r="L107" s="5">
        <v>150884</v>
      </c>
      <c r="M107" s="3" t="s">
        <v>17</v>
      </c>
      <c r="N107" s="10">
        <v>12519</v>
      </c>
      <c r="O107" s="12">
        <f>(Fact_Table[[#This Row],[Petrol_Output_BPD]]+Fact_Table[[#This Row],[Diesel_Output_BPD]]+Fact_Table[[#This Row],[Gas_Output_BPD]])/Fact_Table[[#This Row],[No_of_Employees]]</f>
        <v>290.84037162162161</v>
      </c>
      <c r="P107" s="2" t="str">
        <f>IF(Fact_Table[[#This Row],[0/P Producyivity/Day]]&gt;=1000,"High",IF(Fact_Table[[#This Row],[0/P Producyivity/Day]]&gt;=500,"Medium","Low"))</f>
        <v>Low</v>
      </c>
      <c r="Q107" s="10">
        <f>Fact_Table[[#This Row],[Capacity_BPD]]/Fact_Table[[#This Row],[Average_Salary_AED]]</f>
        <v>55.013259845035549</v>
      </c>
      <c r="R107" s="15">
        <f>(Fact_Table[[#This Row],[Petrol_Output_BPD]]/Fact_Table[[#This Row],[Capacity_BPD]])</f>
        <v>0.34209995193920234</v>
      </c>
      <c r="S107" s="15">
        <f>Fact_Table[[#This Row],[Diesel_Output_BPD]]/Fact_Table[[#This Row],[Capacity_BPD]]</f>
        <v>0.43881686222522948</v>
      </c>
      <c r="T107" s="15">
        <f>Fact_Table[[#This Row],[Gas_Output_BPD]]/Fact_Table[[#This Row],[Capacity_BPD]]</f>
        <v>0.21908173384772422</v>
      </c>
      <c r="U107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07" s="8">
        <f ca="1">YEAR(TODAY())-Fact_Table[[#This Row],[Commissioned_Year]]</f>
        <v>2</v>
      </c>
      <c r="W107" s="40" cm="1">
        <f t="array" ref="W107">_xlfn.XLOOKUP(Fact_Table[[#This Row],[Commissioned_Year]],cost_table[[#All],[Year]],cost_table[[#All],[Average_Crude_Price_USD_per_Barrel]],"0")</f>
        <v>64.3</v>
      </c>
      <c r="X107" s="40">
        <f>Fact_Table[[#This Row],[Capacity_BPD]]*Fact_Table[[#This Row],[cost per barrel]]</f>
        <v>44284117.299999997</v>
      </c>
    </row>
    <row r="108" spans="1:24" x14ac:dyDescent="0.35">
      <c r="A108" t="s">
        <v>30</v>
      </c>
      <c r="B108" t="s">
        <v>14</v>
      </c>
      <c r="C108" t="s">
        <v>50</v>
      </c>
      <c r="D108" s="5">
        <v>746326</v>
      </c>
      <c r="E108" s="5">
        <v>1992</v>
      </c>
      <c r="F108" s="5">
        <v>1270</v>
      </c>
      <c r="G108" s="3" t="s">
        <v>21</v>
      </c>
      <c r="H108" s="4">
        <v>17.29</v>
      </c>
      <c r="I108" s="4">
        <v>5.5</v>
      </c>
      <c r="J108" s="5">
        <v>308860</v>
      </c>
      <c r="K108" s="5">
        <v>332344</v>
      </c>
      <c r="L108" s="5">
        <v>105121</v>
      </c>
      <c r="M108" s="3" t="s">
        <v>29</v>
      </c>
      <c r="N108" s="10">
        <v>14318</v>
      </c>
      <c r="O108" s="12">
        <f>(Fact_Table[[#This Row],[Petrol_Output_BPD]]+Fact_Table[[#This Row],[Diesel_Output_BPD]]+Fact_Table[[#This Row],[Gas_Output_BPD]])/Fact_Table[[#This Row],[No_of_Employees]]</f>
        <v>587.65748031496059</v>
      </c>
      <c r="P108" s="2" t="str">
        <f>IF(Fact_Table[[#This Row],[0/P Producyivity/Day]]&gt;=1000,"High",IF(Fact_Table[[#This Row],[0/P Producyivity/Day]]&gt;=500,"Medium","Low"))</f>
        <v>Medium</v>
      </c>
      <c r="Q108" s="10">
        <f>Fact_Table[[#This Row],[Capacity_BPD]]/Fact_Table[[#This Row],[Average_Salary_AED]]</f>
        <v>52.125017460539183</v>
      </c>
      <c r="R108" s="15">
        <f>(Fact_Table[[#This Row],[Petrol_Output_BPD]]/Fact_Table[[#This Row],[Capacity_BPD]])</f>
        <v>0.41384060048825849</v>
      </c>
      <c r="S108" s="15">
        <f>Fact_Table[[#This Row],[Diesel_Output_BPD]]/Fact_Table[[#This Row],[Capacity_BPD]]</f>
        <v>0.44530674262989633</v>
      </c>
      <c r="T108" s="15">
        <f>Fact_Table[[#This Row],[Gas_Output_BPD]]/Fact_Table[[#This Row],[Capacity_BPD]]</f>
        <v>0.14085131698480288</v>
      </c>
      <c r="U10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08" s="8">
        <f ca="1">YEAR(TODAY())-Fact_Table[[#This Row],[Commissioned_Year]]</f>
        <v>33</v>
      </c>
      <c r="W108" s="40" cm="1">
        <f t="array" ref="W108">_xlfn.XLOOKUP(Fact_Table[[#This Row],[Commissioned_Year]],cost_table[[#All],[Year]],cost_table[[#All],[Average_Crude_Price_USD_per_Barrel]],"0")</f>
        <v>14.4</v>
      </c>
      <c r="X108" s="40">
        <f>Fact_Table[[#This Row],[Capacity_BPD]]*Fact_Table[[#This Row],[cost per barrel]]</f>
        <v>10747094.4</v>
      </c>
    </row>
    <row r="109" spans="1:24" x14ac:dyDescent="0.35">
      <c r="A109" t="s">
        <v>27</v>
      </c>
      <c r="B109" t="s">
        <v>14</v>
      </c>
      <c r="C109" t="s">
        <v>46</v>
      </c>
      <c r="D109" s="5">
        <v>603354</v>
      </c>
      <c r="E109" s="5">
        <v>2015</v>
      </c>
      <c r="F109" s="5">
        <v>1909</v>
      </c>
      <c r="G109" s="3" t="s">
        <v>31</v>
      </c>
      <c r="H109" s="4">
        <v>20.12</v>
      </c>
      <c r="I109" s="4">
        <v>5.56</v>
      </c>
      <c r="J109" s="5">
        <v>231691</v>
      </c>
      <c r="K109" s="5">
        <v>277245</v>
      </c>
      <c r="L109" s="5">
        <v>94417</v>
      </c>
      <c r="M109" s="3" t="s">
        <v>23</v>
      </c>
      <c r="N109" s="10">
        <v>19028</v>
      </c>
      <c r="O109" s="12">
        <f>(Fact_Table[[#This Row],[Petrol_Output_BPD]]+Fact_Table[[#This Row],[Diesel_Output_BPD]]+Fact_Table[[#This Row],[Gas_Output_BPD]])/Fact_Table[[#This Row],[No_of_Employees]]</f>
        <v>316.05709795704558</v>
      </c>
      <c r="P109" s="2" t="str">
        <f>IF(Fact_Table[[#This Row],[0/P Producyivity/Day]]&gt;=1000,"High",IF(Fact_Table[[#This Row],[0/P Producyivity/Day]]&gt;=500,"Medium","Low"))</f>
        <v>Low</v>
      </c>
      <c r="Q109" s="10">
        <f>Fact_Table[[#This Row],[Capacity_BPD]]/Fact_Table[[#This Row],[Average_Salary_AED]]</f>
        <v>31.708745007357578</v>
      </c>
      <c r="R109" s="15">
        <f>(Fact_Table[[#This Row],[Petrol_Output_BPD]]/Fact_Table[[#This Row],[Capacity_BPD]])</f>
        <v>0.38400507827908659</v>
      </c>
      <c r="S109" s="15">
        <f>Fact_Table[[#This Row],[Diesel_Output_BPD]]/Fact_Table[[#This Row],[Capacity_BPD]]</f>
        <v>0.45950635945067075</v>
      </c>
      <c r="T109" s="15">
        <f>Fact_Table[[#This Row],[Gas_Output_BPD]]/Fact_Table[[#This Row],[Capacity_BPD]]</f>
        <v>0.15648690486845201</v>
      </c>
      <c r="U109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09" s="8">
        <f ca="1">YEAR(TODAY())-Fact_Table[[#This Row],[Commissioned_Year]]</f>
        <v>10</v>
      </c>
      <c r="W109" s="40" cm="1">
        <f t="array" ref="W109">_xlfn.XLOOKUP(Fact_Table[[#This Row],[Commissioned_Year]],cost_table[[#All],[Year]],cost_table[[#All],[Average_Crude_Price_USD_per_Barrel]],"0")</f>
        <v>43.7</v>
      </c>
      <c r="X109" s="40">
        <f>Fact_Table[[#This Row],[Capacity_BPD]]*Fact_Table[[#This Row],[cost per barrel]]</f>
        <v>26366569.800000001</v>
      </c>
    </row>
    <row r="110" spans="1:24" x14ac:dyDescent="0.35">
      <c r="A110" t="s">
        <v>36</v>
      </c>
      <c r="B110" t="s">
        <v>14</v>
      </c>
      <c r="C110" t="s">
        <v>48</v>
      </c>
      <c r="D110" s="5">
        <v>755091</v>
      </c>
      <c r="E110" s="5">
        <v>2017</v>
      </c>
      <c r="F110" s="5">
        <v>1810</v>
      </c>
      <c r="G110" s="3" t="s">
        <v>21</v>
      </c>
      <c r="H110" s="4">
        <v>6.66</v>
      </c>
      <c r="I110" s="4">
        <v>7.88</v>
      </c>
      <c r="J110" s="5">
        <v>351470</v>
      </c>
      <c r="K110" s="5">
        <v>299402</v>
      </c>
      <c r="L110" s="5">
        <v>104218</v>
      </c>
      <c r="M110" s="3" t="s">
        <v>38</v>
      </c>
      <c r="N110" s="10">
        <v>11069</v>
      </c>
      <c r="O110" s="12">
        <f>(Fact_Table[[#This Row],[Petrol_Output_BPD]]+Fact_Table[[#This Row],[Diesel_Output_BPD]]+Fact_Table[[#This Row],[Gas_Output_BPD]])/Fact_Table[[#This Row],[No_of_Employees]]</f>
        <v>417.17679558011048</v>
      </c>
      <c r="P110" s="2" t="str">
        <f>IF(Fact_Table[[#This Row],[0/P Producyivity/Day]]&gt;=1000,"High",IF(Fact_Table[[#This Row],[0/P Producyivity/Day]]&gt;=500,"Medium","Low"))</f>
        <v>Low</v>
      </c>
      <c r="Q110" s="10">
        <f>Fact_Table[[#This Row],[Capacity_BPD]]/Fact_Table[[#This Row],[Average_Salary_AED]]</f>
        <v>68.216731412051672</v>
      </c>
      <c r="R110" s="15">
        <f>(Fact_Table[[#This Row],[Petrol_Output_BPD]]/Fact_Table[[#This Row],[Capacity_BPD]])</f>
        <v>0.46546707615373512</v>
      </c>
      <c r="S110" s="15">
        <f>Fact_Table[[#This Row],[Diesel_Output_BPD]]/Fact_Table[[#This Row],[Capacity_BPD]]</f>
        <v>0.39651114898734058</v>
      </c>
      <c r="T110" s="15">
        <f>Fact_Table[[#This Row],[Gas_Output_BPD]]/Fact_Table[[#This Row],[Capacity_BPD]]</f>
        <v>0.1380204505152359</v>
      </c>
      <c r="U110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10" s="8">
        <f ca="1">YEAR(TODAY())-Fact_Table[[#This Row],[Commissioned_Year]]</f>
        <v>8</v>
      </c>
      <c r="W110" s="40" cm="1">
        <f t="array" ref="W110">_xlfn.XLOOKUP(Fact_Table[[#This Row],[Commissioned_Year]],cost_table[[#All],[Year]],cost_table[[#All],[Average_Crude_Price_USD_per_Barrel]],"0")</f>
        <v>71.3</v>
      </c>
      <c r="X110" s="40">
        <f>Fact_Table[[#This Row],[Capacity_BPD]]*Fact_Table[[#This Row],[cost per barrel]]</f>
        <v>53837988.299999997</v>
      </c>
    </row>
    <row r="111" spans="1:24" x14ac:dyDescent="0.35">
      <c r="A111" t="s">
        <v>30</v>
      </c>
      <c r="B111" t="s">
        <v>19</v>
      </c>
      <c r="C111" t="s">
        <v>15</v>
      </c>
      <c r="D111" s="5">
        <v>363442</v>
      </c>
      <c r="E111" s="5">
        <v>1989</v>
      </c>
      <c r="F111" s="5">
        <v>325</v>
      </c>
      <c r="G111" s="3" t="s">
        <v>31</v>
      </c>
      <c r="H111" s="4">
        <v>15.45</v>
      </c>
      <c r="I111" s="4">
        <v>8.98</v>
      </c>
      <c r="J111" s="5">
        <v>139041</v>
      </c>
      <c r="K111" s="5">
        <v>170979</v>
      </c>
      <c r="L111" s="5">
        <v>53421</v>
      </c>
      <c r="M111" s="3" t="s">
        <v>23</v>
      </c>
      <c r="N111" s="10">
        <v>14760</v>
      </c>
      <c r="O111" s="12">
        <f>(Fact_Table[[#This Row],[Petrol_Output_BPD]]+Fact_Table[[#This Row],[Diesel_Output_BPD]]+Fact_Table[[#This Row],[Gas_Output_BPD]])/Fact_Table[[#This Row],[No_of_Employees]]</f>
        <v>1118.28</v>
      </c>
      <c r="P111" s="2" t="str">
        <f>IF(Fact_Table[[#This Row],[0/P Producyivity/Day]]&gt;=1000,"High",IF(Fact_Table[[#This Row],[0/P Producyivity/Day]]&gt;=500,"Medium","Low"))</f>
        <v>High</v>
      </c>
      <c r="Q111" s="10">
        <f>Fact_Table[[#This Row],[Capacity_BPD]]/Fact_Table[[#This Row],[Average_Salary_AED]]</f>
        <v>24.623441734417344</v>
      </c>
      <c r="R111" s="15">
        <f>(Fact_Table[[#This Row],[Petrol_Output_BPD]]/Fact_Table[[#This Row],[Capacity_BPD]])</f>
        <v>0.38256723218560318</v>
      </c>
      <c r="S111" s="15">
        <f>Fact_Table[[#This Row],[Diesel_Output_BPD]]/Fact_Table[[#This Row],[Capacity_BPD]]</f>
        <v>0.47044370215880388</v>
      </c>
      <c r="T111" s="15">
        <f>Fact_Table[[#This Row],[Gas_Output_BPD]]/Fact_Table[[#This Row],[Capacity_BPD]]</f>
        <v>0.14698631418493185</v>
      </c>
      <c r="U111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11" s="8">
        <f ca="1">YEAR(TODAY())-Fact_Table[[#This Row],[Commissioned_Year]]</f>
        <v>36</v>
      </c>
      <c r="W111" s="40" cm="1">
        <f t="array" ref="W111">_xlfn.XLOOKUP(Fact_Table[[#This Row],[Commissioned_Year]],cost_table[[#All],[Year]],cost_table[[#All],[Average_Crude_Price_USD_per_Barrel]],"0")</f>
        <v>18.2</v>
      </c>
      <c r="X111" s="40">
        <f>Fact_Table[[#This Row],[Capacity_BPD]]*Fact_Table[[#This Row],[cost per barrel]]</f>
        <v>6614644.3999999994</v>
      </c>
    </row>
    <row r="112" spans="1:24" x14ac:dyDescent="0.35">
      <c r="A112" t="s">
        <v>24</v>
      </c>
      <c r="B112" t="s">
        <v>41</v>
      </c>
      <c r="C112" t="s">
        <v>47</v>
      </c>
      <c r="D112" s="5">
        <v>562993</v>
      </c>
      <c r="E112" s="5">
        <v>1995</v>
      </c>
      <c r="F112" s="5">
        <v>496</v>
      </c>
      <c r="G112" s="3" t="s">
        <v>16</v>
      </c>
      <c r="H112" s="4">
        <v>4.3499999999999996</v>
      </c>
      <c r="I112" s="4">
        <v>8.56</v>
      </c>
      <c r="J112" s="5">
        <v>164229</v>
      </c>
      <c r="K112" s="5">
        <v>290498</v>
      </c>
      <c r="L112" s="5">
        <v>108265</v>
      </c>
      <c r="M112" s="3" t="s">
        <v>17</v>
      </c>
      <c r="N112" s="10">
        <v>14567</v>
      </c>
      <c r="O112" s="12">
        <f>(Fact_Table[[#This Row],[Petrol_Output_BPD]]+Fact_Table[[#This Row],[Diesel_Output_BPD]]+Fact_Table[[#This Row],[Gas_Output_BPD]])/Fact_Table[[#This Row],[No_of_Employees]]</f>
        <v>1135.0645161290322</v>
      </c>
      <c r="P112" s="2" t="str">
        <f>IF(Fact_Table[[#This Row],[0/P Producyivity/Day]]&gt;=1000,"High",IF(Fact_Table[[#This Row],[0/P Producyivity/Day]]&gt;=500,"Medium","Low"))</f>
        <v>High</v>
      </c>
      <c r="Q112" s="10">
        <f>Fact_Table[[#This Row],[Capacity_BPD]]/Fact_Table[[#This Row],[Average_Salary_AED]]</f>
        <v>38.648520628818559</v>
      </c>
      <c r="R112" s="15">
        <f>(Fact_Table[[#This Row],[Petrol_Output_BPD]]/Fact_Table[[#This Row],[Capacity_BPD]])</f>
        <v>0.29170700168563374</v>
      </c>
      <c r="S112" s="15">
        <f>Fact_Table[[#This Row],[Diesel_Output_BPD]]/Fact_Table[[#This Row],[Capacity_BPD]]</f>
        <v>0.51598865350013234</v>
      </c>
      <c r="T112" s="15">
        <f>Fact_Table[[#This Row],[Gas_Output_BPD]]/Fact_Table[[#This Row],[Capacity_BPD]]</f>
        <v>0.19230256859321518</v>
      </c>
      <c r="U112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12" s="8">
        <f ca="1">YEAR(TODAY())-Fact_Table[[#This Row],[Commissioned_Year]]</f>
        <v>30</v>
      </c>
      <c r="W112" s="40" cm="1">
        <f t="array" ref="W112">_xlfn.XLOOKUP(Fact_Table[[#This Row],[Commissioned_Year]],cost_table[[#All],[Year]],cost_table[[#All],[Average_Crude_Price_USD_per_Barrel]],"0")</f>
        <v>20.100000000000001</v>
      </c>
      <c r="X112" s="40">
        <f>Fact_Table[[#This Row],[Capacity_BPD]]*Fact_Table[[#This Row],[cost per barrel]]</f>
        <v>11316159.300000001</v>
      </c>
    </row>
    <row r="113" spans="1:24" x14ac:dyDescent="0.35">
      <c r="A113" t="s">
        <v>30</v>
      </c>
      <c r="B113" t="s">
        <v>32</v>
      </c>
      <c r="C113" t="s">
        <v>39</v>
      </c>
      <c r="D113" s="5">
        <v>584664</v>
      </c>
      <c r="E113" s="5">
        <v>1995</v>
      </c>
      <c r="F113" s="5">
        <v>1197</v>
      </c>
      <c r="G113" s="3" t="s">
        <v>16</v>
      </c>
      <c r="H113" s="4">
        <v>10.35</v>
      </c>
      <c r="I113" s="4">
        <v>9.2799999999999994</v>
      </c>
      <c r="J113" s="5">
        <v>199207</v>
      </c>
      <c r="K113" s="5">
        <v>303386</v>
      </c>
      <c r="L113" s="5">
        <v>82069</v>
      </c>
      <c r="M113" s="3" t="s">
        <v>34</v>
      </c>
      <c r="N113" s="10">
        <v>9108</v>
      </c>
      <c r="O113" s="12">
        <f>(Fact_Table[[#This Row],[Petrol_Output_BPD]]+Fact_Table[[#This Row],[Diesel_Output_BPD]]+Fact_Table[[#This Row],[Gas_Output_BPD]])/Fact_Table[[#This Row],[No_of_Employees]]</f>
        <v>488.4394319131161</v>
      </c>
      <c r="P113" s="2" t="str">
        <f>IF(Fact_Table[[#This Row],[0/P Producyivity/Day]]&gt;=1000,"High",IF(Fact_Table[[#This Row],[0/P Producyivity/Day]]&gt;=500,"Medium","Low"))</f>
        <v>Low</v>
      </c>
      <c r="Q113" s="10">
        <f>Fact_Table[[#This Row],[Capacity_BPD]]/Fact_Table[[#This Row],[Average_Salary_AED]]</f>
        <v>64.192358366271407</v>
      </c>
      <c r="R113" s="15">
        <f>(Fact_Table[[#This Row],[Petrol_Output_BPD]]/Fact_Table[[#This Row],[Capacity_BPD]])</f>
        <v>0.34072048219148093</v>
      </c>
      <c r="S113" s="15">
        <f>Fact_Table[[#This Row],[Diesel_Output_BPD]]/Fact_Table[[#This Row],[Capacity_BPD]]</f>
        <v>0.51890658566287651</v>
      </c>
      <c r="T113" s="15">
        <f>Fact_Table[[#This Row],[Gas_Output_BPD]]/Fact_Table[[#This Row],[Capacity_BPD]]</f>
        <v>0.14036951137747491</v>
      </c>
      <c r="U113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13" s="8">
        <f ca="1">YEAR(TODAY())-Fact_Table[[#This Row],[Commissioned_Year]]</f>
        <v>30</v>
      </c>
      <c r="W113" s="40" cm="1">
        <f t="array" ref="W113">_xlfn.XLOOKUP(Fact_Table[[#This Row],[Commissioned_Year]],cost_table[[#All],[Year]],cost_table[[#All],[Average_Crude_Price_USD_per_Barrel]],"0")</f>
        <v>20.100000000000001</v>
      </c>
      <c r="X113" s="40">
        <f>Fact_Table[[#This Row],[Capacity_BPD]]*Fact_Table[[#This Row],[cost per barrel]]</f>
        <v>11751746.4</v>
      </c>
    </row>
    <row r="114" spans="1:24" x14ac:dyDescent="0.35">
      <c r="A114" t="s">
        <v>30</v>
      </c>
      <c r="B114" t="s">
        <v>41</v>
      </c>
      <c r="C114" t="s">
        <v>50</v>
      </c>
      <c r="D114" s="5">
        <v>708352</v>
      </c>
      <c r="E114" s="5">
        <v>1984</v>
      </c>
      <c r="F114" s="5">
        <v>1487</v>
      </c>
      <c r="G114" s="3" t="s">
        <v>31</v>
      </c>
      <c r="H114" s="4">
        <v>14.31</v>
      </c>
      <c r="I114" s="4">
        <v>5.66</v>
      </c>
      <c r="J114" s="5">
        <v>297843</v>
      </c>
      <c r="K114" s="5">
        <v>232016</v>
      </c>
      <c r="L114" s="5">
        <v>178491</v>
      </c>
      <c r="M114" s="3" t="s">
        <v>17</v>
      </c>
      <c r="N114" s="10">
        <v>18815</v>
      </c>
      <c r="O114" s="12">
        <f>(Fact_Table[[#This Row],[Petrol_Output_BPD]]+Fact_Table[[#This Row],[Diesel_Output_BPD]]+Fact_Table[[#This Row],[Gas_Output_BPD]])/Fact_Table[[#This Row],[No_of_Employees]]</f>
        <v>476.36180228648283</v>
      </c>
      <c r="P114" s="2" t="str">
        <f>IF(Fact_Table[[#This Row],[0/P Producyivity/Day]]&gt;=1000,"High",IF(Fact_Table[[#This Row],[0/P Producyivity/Day]]&gt;=500,"Medium","Low"))</f>
        <v>Low</v>
      </c>
      <c r="Q114" s="10">
        <f>Fact_Table[[#This Row],[Capacity_BPD]]/Fact_Table[[#This Row],[Average_Salary_AED]]</f>
        <v>37.64825936752591</v>
      </c>
      <c r="R114" s="15">
        <f>(Fact_Table[[#This Row],[Petrol_Output_BPD]]/Fact_Table[[#This Row],[Capacity_BPD]])</f>
        <v>0.42047315458980844</v>
      </c>
      <c r="S114" s="15">
        <f>Fact_Table[[#This Row],[Diesel_Output_BPD]]/Fact_Table[[#This Row],[Capacity_BPD]]</f>
        <v>0.32754336826888325</v>
      </c>
      <c r="T114" s="15">
        <f>Fact_Table[[#This Row],[Gas_Output_BPD]]/Fact_Table[[#This Row],[Capacity_BPD]]</f>
        <v>0.25198065368630285</v>
      </c>
      <c r="U114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14" s="8">
        <f ca="1">YEAR(TODAY())-Fact_Table[[#This Row],[Commissioned_Year]]</f>
        <v>41</v>
      </c>
      <c r="W114" s="40" cm="1">
        <f t="array" ref="W114">_xlfn.XLOOKUP(Fact_Table[[#This Row],[Commissioned_Year]],cost_table[[#All],[Year]],cost_table[[#All],[Average_Crude_Price_USD_per_Barrel]],"0")</f>
        <v>28.5</v>
      </c>
      <c r="X114" s="40">
        <f>Fact_Table[[#This Row],[Capacity_BPD]]*Fact_Table[[#This Row],[cost per barrel]]</f>
        <v>20188032</v>
      </c>
    </row>
    <row r="115" spans="1:24" x14ac:dyDescent="0.35">
      <c r="A115" t="s">
        <v>22</v>
      </c>
      <c r="B115" t="s">
        <v>14</v>
      </c>
      <c r="C115" t="s">
        <v>47</v>
      </c>
      <c r="D115" s="5">
        <v>471166</v>
      </c>
      <c r="E115" s="5">
        <v>2015</v>
      </c>
      <c r="F115" s="5">
        <v>868</v>
      </c>
      <c r="G115" s="3" t="s">
        <v>16</v>
      </c>
      <c r="H115" s="4">
        <v>3.58</v>
      </c>
      <c r="I115" s="4">
        <v>9.02</v>
      </c>
      <c r="J115" s="5">
        <v>163658</v>
      </c>
      <c r="K115" s="5">
        <v>187755</v>
      </c>
      <c r="L115" s="5">
        <v>119751</v>
      </c>
      <c r="M115" s="3" t="s">
        <v>34</v>
      </c>
      <c r="N115" s="10">
        <v>17683</v>
      </c>
      <c r="O115" s="12">
        <f>(Fact_Table[[#This Row],[Petrol_Output_BPD]]+Fact_Table[[#This Row],[Diesel_Output_BPD]]+Fact_Table[[#This Row],[Gas_Output_BPD]])/Fact_Table[[#This Row],[No_of_Employees]]</f>
        <v>542.81566820276498</v>
      </c>
      <c r="P115" s="2" t="str">
        <f>IF(Fact_Table[[#This Row],[0/P Producyivity/Day]]&gt;=1000,"High",IF(Fact_Table[[#This Row],[0/P Producyivity/Day]]&gt;=500,"Medium","Low"))</f>
        <v>Medium</v>
      </c>
      <c r="Q115" s="10">
        <f>Fact_Table[[#This Row],[Capacity_BPD]]/Fact_Table[[#This Row],[Average_Salary_AED]]</f>
        <v>26.645139399423176</v>
      </c>
      <c r="R115" s="15">
        <f>(Fact_Table[[#This Row],[Petrol_Output_BPD]]/Fact_Table[[#This Row],[Capacity_BPD]])</f>
        <v>0.34734679497247256</v>
      </c>
      <c r="S115" s="15">
        <f>Fact_Table[[#This Row],[Diesel_Output_BPD]]/Fact_Table[[#This Row],[Capacity_BPD]]</f>
        <v>0.39849012874443401</v>
      </c>
      <c r="T115" s="15">
        <f>Fact_Table[[#This Row],[Gas_Output_BPD]]/Fact_Table[[#This Row],[Capacity_BPD]]</f>
        <v>0.25415883149463248</v>
      </c>
      <c r="U115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15" s="8">
        <f ca="1">YEAR(TODAY())-Fact_Table[[#This Row],[Commissioned_Year]]</f>
        <v>10</v>
      </c>
      <c r="W115" s="40" cm="1">
        <f t="array" ref="W115">_xlfn.XLOOKUP(Fact_Table[[#This Row],[Commissioned_Year]],cost_table[[#All],[Year]],cost_table[[#All],[Average_Crude_Price_USD_per_Barrel]],"0")</f>
        <v>43.7</v>
      </c>
      <c r="X115" s="40">
        <f>Fact_Table[[#This Row],[Capacity_BPD]]*Fact_Table[[#This Row],[cost per barrel]]</f>
        <v>20589954.200000003</v>
      </c>
    </row>
    <row r="116" spans="1:24" x14ac:dyDescent="0.35">
      <c r="A116" t="s">
        <v>60</v>
      </c>
      <c r="B116" t="s">
        <v>41</v>
      </c>
      <c r="C116" t="s">
        <v>33</v>
      </c>
      <c r="D116" s="5">
        <v>825313</v>
      </c>
      <c r="E116" s="5">
        <v>2010</v>
      </c>
      <c r="F116" s="5">
        <v>553</v>
      </c>
      <c r="G116" s="3" t="s">
        <v>21</v>
      </c>
      <c r="H116" s="4">
        <v>30.55</v>
      </c>
      <c r="I116" s="4">
        <v>5.24</v>
      </c>
      <c r="J116" s="5">
        <v>273756</v>
      </c>
      <c r="K116" s="5">
        <v>426635</v>
      </c>
      <c r="L116" s="5">
        <v>124921</v>
      </c>
      <c r="M116" s="3" t="s">
        <v>23</v>
      </c>
      <c r="N116" s="10">
        <v>12140</v>
      </c>
      <c r="O116" s="12">
        <f>(Fact_Table[[#This Row],[Petrol_Output_BPD]]+Fact_Table[[#This Row],[Diesel_Output_BPD]]+Fact_Table[[#This Row],[Gas_Output_BPD]])/Fact_Table[[#This Row],[No_of_Employees]]</f>
        <v>1492.4267631103073</v>
      </c>
      <c r="P116" s="2" t="str">
        <f>IF(Fact_Table[[#This Row],[0/P Producyivity/Day]]&gt;=1000,"High",IF(Fact_Table[[#This Row],[0/P Producyivity/Day]]&gt;=500,"Medium","Low"))</f>
        <v>High</v>
      </c>
      <c r="Q116" s="10">
        <f>Fact_Table[[#This Row],[Capacity_BPD]]/Fact_Table[[#This Row],[Average_Salary_AED]]</f>
        <v>67.982948929159804</v>
      </c>
      <c r="R116" s="15">
        <f>(Fact_Table[[#This Row],[Petrol_Output_BPD]]/Fact_Table[[#This Row],[Capacity_BPD]])</f>
        <v>0.33169960972382601</v>
      </c>
      <c r="S116" s="15">
        <f>Fact_Table[[#This Row],[Diesel_Output_BPD]]/Fact_Table[[#This Row],[Capacity_BPD]]</f>
        <v>0.51693721048862673</v>
      </c>
      <c r="T116" s="15">
        <f>Fact_Table[[#This Row],[Gas_Output_BPD]]/Fact_Table[[#This Row],[Capacity_BPD]]</f>
        <v>0.15136196812603217</v>
      </c>
      <c r="U11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16" s="8">
        <f ca="1">YEAR(TODAY())-Fact_Table[[#This Row],[Commissioned_Year]]</f>
        <v>15</v>
      </c>
      <c r="W116" s="40" cm="1">
        <f t="array" ref="W116">_xlfn.XLOOKUP(Fact_Table[[#This Row],[Commissioned_Year]],cost_table[[#All],[Year]],cost_table[[#All],[Average_Crude_Price_USD_per_Barrel]],"0")</f>
        <v>56.6</v>
      </c>
      <c r="X116" s="40">
        <f>Fact_Table[[#This Row],[Capacity_BPD]]*Fact_Table[[#This Row],[cost per barrel]]</f>
        <v>46712715.800000004</v>
      </c>
    </row>
    <row r="117" spans="1:24" x14ac:dyDescent="0.35">
      <c r="A117" t="s">
        <v>60</v>
      </c>
      <c r="B117" t="s">
        <v>41</v>
      </c>
      <c r="C117" t="s">
        <v>51</v>
      </c>
      <c r="D117" s="5">
        <v>350112</v>
      </c>
      <c r="E117" s="5">
        <v>2010</v>
      </c>
      <c r="F117" s="5">
        <v>665</v>
      </c>
      <c r="G117" s="3" t="s">
        <v>16</v>
      </c>
      <c r="H117" s="4">
        <v>30.86</v>
      </c>
      <c r="I117" s="4">
        <v>7.78</v>
      </c>
      <c r="J117" s="5">
        <v>121456</v>
      </c>
      <c r="K117" s="5">
        <v>156827</v>
      </c>
      <c r="L117" s="5">
        <v>71827</v>
      </c>
      <c r="M117" s="3" t="s">
        <v>34</v>
      </c>
      <c r="N117" s="10">
        <v>9728</v>
      </c>
      <c r="O117" s="12">
        <f>(Fact_Table[[#This Row],[Petrol_Output_BPD]]+Fact_Table[[#This Row],[Diesel_Output_BPD]]+Fact_Table[[#This Row],[Gas_Output_BPD]])/Fact_Table[[#This Row],[No_of_Employees]]</f>
        <v>526.48120300751884</v>
      </c>
      <c r="P117" s="2" t="str">
        <f>IF(Fact_Table[[#This Row],[0/P Producyivity/Day]]&gt;=1000,"High",IF(Fact_Table[[#This Row],[0/P Producyivity/Day]]&gt;=500,"Medium","Low"))</f>
        <v>Medium</v>
      </c>
      <c r="Q117" s="10">
        <f>Fact_Table[[#This Row],[Capacity_BPD]]/Fact_Table[[#This Row],[Average_Salary_AED]]</f>
        <v>35.99013157894737</v>
      </c>
      <c r="R117" s="15">
        <f>(Fact_Table[[#This Row],[Petrol_Output_BPD]]/Fact_Table[[#This Row],[Capacity_BPD]])</f>
        <v>0.34690613289461658</v>
      </c>
      <c r="S117" s="15">
        <f>Fact_Table[[#This Row],[Diesel_Output_BPD]]/Fact_Table[[#This Row],[Capacity_BPD]]</f>
        <v>0.44793380403985011</v>
      </c>
      <c r="T117" s="15">
        <f>Fact_Table[[#This Row],[Gas_Output_BPD]]/Fact_Table[[#This Row],[Capacity_BPD]]</f>
        <v>0.20515435060780551</v>
      </c>
      <c r="U117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17" s="8">
        <f ca="1">YEAR(TODAY())-Fact_Table[[#This Row],[Commissioned_Year]]</f>
        <v>15</v>
      </c>
      <c r="W117" s="40" cm="1">
        <f t="array" ref="W117">_xlfn.XLOOKUP(Fact_Table[[#This Row],[Commissioned_Year]],cost_table[[#All],[Year]],cost_table[[#All],[Average_Crude_Price_USD_per_Barrel]],"0")</f>
        <v>56.6</v>
      </c>
      <c r="X117" s="40">
        <f>Fact_Table[[#This Row],[Capacity_BPD]]*Fact_Table[[#This Row],[cost per barrel]]</f>
        <v>19816339.199999999</v>
      </c>
    </row>
    <row r="118" spans="1:24" x14ac:dyDescent="0.35">
      <c r="A118" t="s">
        <v>24</v>
      </c>
      <c r="B118" t="s">
        <v>14</v>
      </c>
      <c r="C118" t="s">
        <v>33</v>
      </c>
      <c r="D118" s="5">
        <v>813105</v>
      </c>
      <c r="E118" s="5">
        <v>2002</v>
      </c>
      <c r="F118" s="5">
        <v>881</v>
      </c>
      <c r="G118" s="3" t="s">
        <v>28</v>
      </c>
      <c r="H118" s="4">
        <v>4.96</v>
      </c>
      <c r="I118" s="4">
        <v>9.74</v>
      </c>
      <c r="J118" s="5">
        <v>309890</v>
      </c>
      <c r="K118" s="5">
        <v>299762</v>
      </c>
      <c r="L118" s="5">
        <v>203451</v>
      </c>
      <c r="M118" s="3" t="s">
        <v>38</v>
      </c>
      <c r="N118" s="10">
        <v>17359</v>
      </c>
      <c r="O118" s="12">
        <f>(Fact_Table[[#This Row],[Petrol_Output_BPD]]+Fact_Table[[#This Row],[Diesel_Output_BPD]]+Fact_Table[[#This Row],[Gas_Output_BPD]])/Fact_Table[[#This Row],[No_of_Employees]]</f>
        <v>922.93189557321227</v>
      </c>
      <c r="P118" s="2" t="str">
        <f>IF(Fact_Table[[#This Row],[0/P Producyivity/Day]]&gt;=1000,"High",IF(Fact_Table[[#This Row],[0/P Producyivity/Day]]&gt;=500,"Medium","Low"))</f>
        <v>Medium</v>
      </c>
      <c r="Q118" s="10">
        <f>Fact_Table[[#This Row],[Capacity_BPD]]/Fact_Table[[#This Row],[Average_Salary_AED]]</f>
        <v>46.840543810127315</v>
      </c>
      <c r="R118" s="15">
        <f>(Fact_Table[[#This Row],[Petrol_Output_BPD]]/Fact_Table[[#This Row],[Capacity_BPD]])</f>
        <v>0.38111928963663977</v>
      </c>
      <c r="S118" s="15">
        <f>Fact_Table[[#This Row],[Diesel_Output_BPD]]/Fact_Table[[#This Row],[Capacity_BPD]]</f>
        <v>0.36866333376378202</v>
      </c>
      <c r="T118" s="15">
        <f>Fact_Table[[#This Row],[Gas_Output_BPD]]/Fact_Table[[#This Row],[Capacity_BPD]]</f>
        <v>0.25021491689265224</v>
      </c>
      <c r="U118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18" s="8">
        <f ca="1">YEAR(TODAY())-Fact_Table[[#This Row],[Commissioned_Year]]</f>
        <v>23</v>
      </c>
      <c r="W118" s="40" cm="1">
        <f t="array" ref="W118">_xlfn.XLOOKUP(Fact_Table[[#This Row],[Commissioned_Year]],cost_table[[#All],[Year]],cost_table[[#All],[Average_Crude_Price_USD_per_Barrel]],"0")</f>
        <v>24.4</v>
      </c>
      <c r="X118" s="40">
        <f>Fact_Table[[#This Row],[Capacity_BPD]]*Fact_Table[[#This Row],[cost per barrel]]</f>
        <v>19839762</v>
      </c>
    </row>
    <row r="119" spans="1:24" x14ac:dyDescent="0.35">
      <c r="A119" t="s">
        <v>35</v>
      </c>
      <c r="B119" t="s">
        <v>40</v>
      </c>
      <c r="C119" t="s">
        <v>47</v>
      </c>
      <c r="D119" s="5">
        <v>893519</v>
      </c>
      <c r="E119" s="5">
        <v>1995</v>
      </c>
      <c r="F119" s="5">
        <v>2409</v>
      </c>
      <c r="G119" s="3" t="s">
        <v>16</v>
      </c>
      <c r="H119" s="4">
        <v>5.23</v>
      </c>
      <c r="I119" s="4">
        <v>6.52</v>
      </c>
      <c r="J119" s="5">
        <v>294681</v>
      </c>
      <c r="K119" s="5">
        <v>423989</v>
      </c>
      <c r="L119" s="5">
        <v>174848</v>
      </c>
      <c r="M119" s="3" t="s">
        <v>38</v>
      </c>
      <c r="N119" s="10">
        <v>15881</v>
      </c>
      <c r="O119" s="12">
        <f>(Fact_Table[[#This Row],[Petrol_Output_BPD]]+Fact_Table[[#This Row],[Diesel_Output_BPD]]+Fact_Table[[#This Row],[Gas_Output_BPD]])/Fact_Table[[#This Row],[No_of_Employees]]</f>
        <v>370.90826068908262</v>
      </c>
      <c r="P119" s="2" t="str">
        <f>IF(Fact_Table[[#This Row],[0/P Producyivity/Day]]&gt;=1000,"High",IF(Fact_Table[[#This Row],[0/P Producyivity/Day]]&gt;=500,"Medium","Low"))</f>
        <v>Low</v>
      </c>
      <c r="Q119" s="10">
        <f>Fact_Table[[#This Row],[Capacity_BPD]]/Fact_Table[[#This Row],[Average_Salary_AED]]</f>
        <v>56.263396511554689</v>
      </c>
      <c r="R119" s="15">
        <f>(Fact_Table[[#This Row],[Petrol_Output_BPD]]/Fact_Table[[#This Row],[Capacity_BPD]])</f>
        <v>0.32979824715534867</v>
      </c>
      <c r="S119" s="15">
        <f>Fact_Table[[#This Row],[Diesel_Output_BPD]]/Fact_Table[[#This Row],[Capacity_BPD]]</f>
        <v>0.47451593083079374</v>
      </c>
      <c r="T119" s="15">
        <f>Fact_Table[[#This Row],[Gas_Output_BPD]]/Fact_Table[[#This Row],[Capacity_BPD]]</f>
        <v>0.19568470284347619</v>
      </c>
      <c r="U119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19" s="8">
        <f ca="1">YEAR(TODAY())-Fact_Table[[#This Row],[Commissioned_Year]]</f>
        <v>30</v>
      </c>
      <c r="W119" s="40" cm="1">
        <f t="array" ref="W119">_xlfn.XLOOKUP(Fact_Table[[#This Row],[Commissioned_Year]],cost_table[[#All],[Year]],cost_table[[#All],[Average_Crude_Price_USD_per_Barrel]],"0")</f>
        <v>20.100000000000001</v>
      </c>
      <c r="X119" s="40">
        <f>Fact_Table[[#This Row],[Capacity_BPD]]*Fact_Table[[#This Row],[cost per barrel]]</f>
        <v>17959731.900000002</v>
      </c>
    </row>
    <row r="120" spans="1:24" x14ac:dyDescent="0.35">
      <c r="A120" t="s">
        <v>36</v>
      </c>
      <c r="B120" t="s">
        <v>26</v>
      </c>
      <c r="C120" t="s">
        <v>15</v>
      </c>
      <c r="D120" s="5">
        <v>675213</v>
      </c>
      <c r="E120" s="5">
        <v>2003</v>
      </c>
      <c r="F120" s="5">
        <v>737</v>
      </c>
      <c r="G120" s="3" t="s">
        <v>16</v>
      </c>
      <c r="H120" s="4">
        <v>15.37</v>
      </c>
      <c r="I120" s="4">
        <v>9.8800000000000008</v>
      </c>
      <c r="J120" s="5">
        <v>256061</v>
      </c>
      <c r="K120" s="5">
        <v>241861</v>
      </c>
      <c r="L120" s="5">
        <v>177289</v>
      </c>
      <c r="M120" s="3" t="s">
        <v>23</v>
      </c>
      <c r="N120" s="10">
        <v>19384</v>
      </c>
      <c r="O120" s="12">
        <f>(Fact_Table[[#This Row],[Petrol_Output_BPD]]+Fact_Table[[#This Row],[Diesel_Output_BPD]]+Fact_Table[[#This Row],[Gas_Output_BPD]])/Fact_Table[[#This Row],[No_of_Employees]]</f>
        <v>916.16146540027137</v>
      </c>
      <c r="P120" s="2" t="str">
        <f>IF(Fact_Table[[#This Row],[0/P Producyivity/Day]]&gt;=1000,"High",IF(Fact_Table[[#This Row],[0/P Producyivity/Day]]&gt;=500,"Medium","Low"))</f>
        <v>Medium</v>
      </c>
      <c r="Q120" s="10">
        <f>Fact_Table[[#This Row],[Capacity_BPD]]/Fact_Table[[#This Row],[Average_Salary_AED]]</f>
        <v>34.833522492777547</v>
      </c>
      <c r="R120" s="15">
        <f>(Fact_Table[[#This Row],[Petrol_Output_BPD]]/Fact_Table[[#This Row],[Capacity_BPD]])</f>
        <v>0.37922996150844251</v>
      </c>
      <c r="S120" s="15">
        <f>Fact_Table[[#This Row],[Diesel_Output_BPD]]/Fact_Table[[#This Row],[Capacity_BPD]]</f>
        <v>0.35819956073120629</v>
      </c>
      <c r="T120" s="15">
        <f>Fact_Table[[#This Row],[Gas_Output_BPD]]/Fact_Table[[#This Row],[Capacity_BPD]]</f>
        <v>0.26256751573207271</v>
      </c>
      <c r="U120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20" s="8">
        <f ca="1">YEAR(TODAY())-Fact_Table[[#This Row],[Commissioned_Year]]</f>
        <v>22</v>
      </c>
      <c r="W120" s="40" cm="1">
        <f t="array" ref="W120">_xlfn.XLOOKUP(Fact_Table[[#This Row],[Commissioned_Year]],cost_table[[#All],[Year]],cost_table[[#All],[Average_Crude_Price_USD_per_Barrel]],"0")</f>
        <v>17.2</v>
      </c>
      <c r="X120" s="40">
        <f>Fact_Table[[#This Row],[Capacity_BPD]]*Fact_Table[[#This Row],[cost per barrel]]</f>
        <v>11613663.6</v>
      </c>
    </row>
    <row r="121" spans="1:24" x14ac:dyDescent="0.35">
      <c r="A121" t="s">
        <v>18</v>
      </c>
      <c r="B121" t="s">
        <v>14</v>
      </c>
      <c r="C121" t="s">
        <v>50</v>
      </c>
      <c r="D121" s="5">
        <v>513255</v>
      </c>
      <c r="E121" s="5">
        <v>2004</v>
      </c>
      <c r="F121" s="5">
        <v>2399</v>
      </c>
      <c r="G121" s="3" t="s">
        <v>16</v>
      </c>
      <c r="H121" s="4">
        <v>1.71</v>
      </c>
      <c r="I121" s="4">
        <v>6</v>
      </c>
      <c r="J121" s="5">
        <v>207369</v>
      </c>
      <c r="K121" s="5">
        <v>247703</v>
      </c>
      <c r="L121" s="5">
        <v>58181</v>
      </c>
      <c r="M121" s="3" t="s">
        <v>17</v>
      </c>
      <c r="N121" s="10">
        <v>21319</v>
      </c>
      <c r="O121" s="12">
        <f>(Fact_Table[[#This Row],[Petrol_Output_BPD]]+Fact_Table[[#This Row],[Diesel_Output_BPD]]+Fact_Table[[#This Row],[Gas_Output_BPD]])/Fact_Table[[#This Row],[No_of_Employees]]</f>
        <v>213.94456023343059</v>
      </c>
      <c r="P121" s="2" t="str">
        <f>IF(Fact_Table[[#This Row],[0/P Producyivity/Day]]&gt;=1000,"High",IF(Fact_Table[[#This Row],[0/P Producyivity/Day]]&gt;=500,"Medium","Low"))</f>
        <v>Low</v>
      </c>
      <c r="Q121" s="10">
        <f>Fact_Table[[#This Row],[Capacity_BPD]]/Fact_Table[[#This Row],[Average_Salary_AED]]</f>
        <v>24.075003517988648</v>
      </c>
      <c r="R121" s="15">
        <f>(Fact_Table[[#This Row],[Petrol_Output_BPD]]/Fact_Table[[#This Row],[Capacity_BPD]])</f>
        <v>0.40402723792267003</v>
      </c>
      <c r="S121" s="15">
        <f>Fact_Table[[#This Row],[Diesel_Output_BPD]]/Fact_Table[[#This Row],[Capacity_BPD]]</f>
        <v>0.48261195701941528</v>
      </c>
      <c r="T121" s="15">
        <f>Fact_Table[[#This Row],[Gas_Output_BPD]]/Fact_Table[[#This Row],[Capacity_BPD]]</f>
        <v>0.11335690835939251</v>
      </c>
      <c r="U12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21" s="8">
        <f ca="1">YEAR(TODAY())-Fact_Table[[#This Row],[Commissioned_Year]]</f>
        <v>21</v>
      </c>
      <c r="W121" s="40" cm="1">
        <f t="array" ref="W121">_xlfn.XLOOKUP(Fact_Table[[#This Row],[Commissioned_Year]],cost_table[[#All],[Year]],cost_table[[#All],[Average_Crude_Price_USD_per_Barrel]],"0")</f>
        <v>18.600000000000001</v>
      </c>
      <c r="X121" s="40">
        <f>Fact_Table[[#This Row],[Capacity_BPD]]*Fact_Table[[#This Row],[cost per barrel]]</f>
        <v>9546543</v>
      </c>
    </row>
    <row r="122" spans="1:24" x14ac:dyDescent="0.35">
      <c r="A122" t="s">
        <v>36</v>
      </c>
      <c r="B122" t="s">
        <v>40</v>
      </c>
      <c r="C122" t="s">
        <v>20</v>
      </c>
      <c r="D122" s="5">
        <v>178005</v>
      </c>
      <c r="E122" s="5">
        <v>2022</v>
      </c>
      <c r="F122" s="5">
        <v>2298</v>
      </c>
      <c r="G122" s="3" t="s">
        <v>28</v>
      </c>
      <c r="H122" s="4">
        <v>11.86</v>
      </c>
      <c r="I122" s="4">
        <v>6.57</v>
      </c>
      <c r="J122" s="5">
        <v>81247</v>
      </c>
      <c r="K122" s="5">
        <v>70421</v>
      </c>
      <c r="L122" s="5">
        <v>26335</v>
      </c>
      <c r="M122" s="3" t="s">
        <v>29</v>
      </c>
      <c r="N122" s="10">
        <v>13810</v>
      </c>
      <c r="O122" s="12">
        <f>(Fact_Table[[#This Row],[Petrol_Output_BPD]]+Fact_Table[[#This Row],[Diesel_Output_BPD]]+Fact_Table[[#This Row],[Gas_Output_BPD]])/Fact_Table[[#This Row],[No_of_Employees]]</f>
        <v>77.459965187119238</v>
      </c>
      <c r="P122" s="2" t="str">
        <f>IF(Fact_Table[[#This Row],[0/P Producyivity/Day]]&gt;=1000,"High",IF(Fact_Table[[#This Row],[0/P Producyivity/Day]]&gt;=500,"Medium","Low"))</f>
        <v>Low</v>
      </c>
      <c r="Q122" s="10">
        <f>Fact_Table[[#This Row],[Capacity_BPD]]/Fact_Table[[#This Row],[Average_Salary_AED]]</f>
        <v>12.889572773352644</v>
      </c>
      <c r="R122" s="15">
        <f>(Fact_Table[[#This Row],[Petrol_Output_BPD]]/Fact_Table[[#This Row],[Capacity_BPD]])</f>
        <v>0.45643099912923796</v>
      </c>
      <c r="S122" s="15">
        <f>Fact_Table[[#This Row],[Diesel_Output_BPD]]/Fact_Table[[#This Row],[Capacity_BPD]]</f>
        <v>0.3956124827954271</v>
      </c>
      <c r="T122" s="15">
        <f>Fact_Table[[#This Row],[Gas_Output_BPD]]/Fact_Table[[#This Row],[Capacity_BPD]]</f>
        <v>0.14794528243588664</v>
      </c>
      <c r="U12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22" s="8">
        <f ca="1">YEAR(TODAY())-Fact_Table[[#This Row],[Commissioned_Year]]</f>
        <v>3</v>
      </c>
      <c r="W122" s="40" cm="1">
        <f t="array" ref="W122">_xlfn.XLOOKUP(Fact_Table[[#This Row],[Commissioned_Year]],cost_table[[#All],[Year]],cost_table[[#All],[Average_Crude_Price_USD_per_Barrel]],"0")</f>
        <v>71.3</v>
      </c>
      <c r="X122" s="40">
        <f>Fact_Table[[#This Row],[Capacity_BPD]]*Fact_Table[[#This Row],[cost per barrel]]</f>
        <v>12691756.5</v>
      </c>
    </row>
    <row r="123" spans="1:24" x14ac:dyDescent="0.35">
      <c r="A123" t="s">
        <v>36</v>
      </c>
      <c r="B123" t="s">
        <v>40</v>
      </c>
      <c r="C123" t="s">
        <v>46</v>
      </c>
      <c r="D123" s="5">
        <v>442148</v>
      </c>
      <c r="E123" s="5">
        <v>2004</v>
      </c>
      <c r="F123" s="5">
        <v>865</v>
      </c>
      <c r="G123" s="3" t="s">
        <v>16</v>
      </c>
      <c r="H123" s="4">
        <v>17.54</v>
      </c>
      <c r="I123" s="4">
        <v>5.36</v>
      </c>
      <c r="J123" s="5">
        <v>149967</v>
      </c>
      <c r="K123" s="5">
        <v>219565</v>
      </c>
      <c r="L123" s="5">
        <v>72615</v>
      </c>
      <c r="M123" s="3" t="s">
        <v>23</v>
      </c>
      <c r="N123" s="10">
        <v>13367</v>
      </c>
      <c r="O123" s="12">
        <f>(Fact_Table[[#This Row],[Petrol_Output_BPD]]+Fact_Table[[#This Row],[Diesel_Output_BPD]]+Fact_Table[[#This Row],[Gas_Output_BPD]])/Fact_Table[[#This Row],[No_of_Employees]]</f>
        <v>511.15260115606935</v>
      </c>
      <c r="P123" s="2" t="str">
        <f>IF(Fact_Table[[#This Row],[0/P Producyivity/Day]]&gt;=1000,"High",IF(Fact_Table[[#This Row],[0/P Producyivity/Day]]&gt;=500,"Medium","Low"))</f>
        <v>Medium</v>
      </c>
      <c r="Q123" s="10">
        <f>Fact_Table[[#This Row],[Capacity_BPD]]/Fact_Table[[#This Row],[Average_Salary_AED]]</f>
        <v>33.077579112740331</v>
      </c>
      <c r="R123" s="15">
        <f>(Fact_Table[[#This Row],[Petrol_Output_BPD]]/Fact_Table[[#This Row],[Capacity_BPD]])</f>
        <v>0.33917828419443263</v>
      </c>
      <c r="S123" s="15">
        <f>Fact_Table[[#This Row],[Diesel_Output_BPD]]/Fact_Table[[#This Row],[Capacity_BPD]]</f>
        <v>0.49658711562644181</v>
      </c>
      <c r="T123" s="15">
        <f>Fact_Table[[#This Row],[Gas_Output_BPD]]/Fact_Table[[#This Row],[Capacity_BPD]]</f>
        <v>0.16423233849299329</v>
      </c>
      <c r="U123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23" s="8">
        <f ca="1">YEAR(TODAY())-Fact_Table[[#This Row],[Commissioned_Year]]</f>
        <v>21</v>
      </c>
      <c r="W123" s="40" cm="1">
        <f t="array" ref="W123">_xlfn.XLOOKUP(Fact_Table[[#This Row],[Commissioned_Year]],cost_table[[#All],[Year]],cost_table[[#All],[Average_Crude_Price_USD_per_Barrel]],"0")</f>
        <v>18.600000000000001</v>
      </c>
      <c r="X123" s="40">
        <f>Fact_Table[[#This Row],[Capacity_BPD]]*Fact_Table[[#This Row],[cost per barrel]]</f>
        <v>8223952.8000000007</v>
      </c>
    </row>
    <row r="124" spans="1:24" x14ac:dyDescent="0.35">
      <c r="A124" t="s">
        <v>45</v>
      </c>
      <c r="B124" t="s">
        <v>26</v>
      </c>
      <c r="C124" t="s">
        <v>39</v>
      </c>
      <c r="D124" s="5">
        <v>777913</v>
      </c>
      <c r="E124" s="5">
        <v>1995</v>
      </c>
      <c r="F124" s="5">
        <v>2472</v>
      </c>
      <c r="G124" s="3" t="s">
        <v>28</v>
      </c>
      <c r="H124" s="4">
        <v>30.01</v>
      </c>
      <c r="I124" s="4">
        <v>6.19</v>
      </c>
      <c r="J124" s="5">
        <v>264024</v>
      </c>
      <c r="K124" s="5">
        <v>349239</v>
      </c>
      <c r="L124" s="5">
        <v>164649</v>
      </c>
      <c r="M124" s="3" t="s">
        <v>17</v>
      </c>
      <c r="N124" s="10">
        <v>24643</v>
      </c>
      <c r="O124" s="12">
        <f>(Fact_Table[[#This Row],[Petrol_Output_BPD]]+Fact_Table[[#This Row],[Diesel_Output_BPD]]+Fact_Table[[#This Row],[Gas_Output_BPD]])/Fact_Table[[#This Row],[No_of_Employees]]</f>
        <v>314.68932038834953</v>
      </c>
      <c r="P124" s="2" t="str">
        <f>IF(Fact_Table[[#This Row],[0/P Producyivity/Day]]&gt;=1000,"High",IF(Fact_Table[[#This Row],[0/P Producyivity/Day]]&gt;=500,"Medium","Low"))</f>
        <v>Low</v>
      </c>
      <c r="Q124" s="10">
        <f>Fact_Table[[#This Row],[Capacity_BPD]]/Fact_Table[[#This Row],[Average_Salary_AED]]</f>
        <v>31.567301059124294</v>
      </c>
      <c r="R124" s="15">
        <f>(Fact_Table[[#This Row],[Petrol_Output_BPD]]/Fact_Table[[#This Row],[Capacity_BPD]])</f>
        <v>0.33940042138388227</v>
      </c>
      <c r="S124" s="15">
        <f>Fact_Table[[#This Row],[Diesel_Output_BPD]]/Fact_Table[[#This Row],[Capacity_BPD]]</f>
        <v>0.44894351939098587</v>
      </c>
      <c r="T124" s="15">
        <f>Fact_Table[[#This Row],[Gas_Output_BPD]]/Fact_Table[[#This Row],[Capacity_BPD]]</f>
        <v>0.21165477373433791</v>
      </c>
      <c r="U124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24" s="8">
        <f ca="1">YEAR(TODAY())-Fact_Table[[#This Row],[Commissioned_Year]]</f>
        <v>30</v>
      </c>
      <c r="W124" s="40" cm="1">
        <f t="array" ref="W124">_xlfn.XLOOKUP(Fact_Table[[#This Row],[Commissioned_Year]],cost_table[[#All],[Year]],cost_table[[#All],[Average_Crude_Price_USD_per_Barrel]],"0")</f>
        <v>20.100000000000001</v>
      </c>
      <c r="X124" s="40">
        <f>Fact_Table[[#This Row],[Capacity_BPD]]*Fact_Table[[#This Row],[cost per barrel]]</f>
        <v>15636051.300000001</v>
      </c>
    </row>
    <row r="125" spans="1:24" x14ac:dyDescent="0.35">
      <c r="A125" t="s">
        <v>45</v>
      </c>
      <c r="B125" t="s">
        <v>26</v>
      </c>
      <c r="C125" t="s">
        <v>33</v>
      </c>
      <c r="D125" s="5">
        <v>259063</v>
      </c>
      <c r="E125" s="5">
        <v>2011</v>
      </c>
      <c r="F125" s="5">
        <v>1312</v>
      </c>
      <c r="G125" s="3" t="s">
        <v>21</v>
      </c>
      <c r="H125" s="4">
        <v>19.03</v>
      </c>
      <c r="I125" s="4">
        <v>8.98</v>
      </c>
      <c r="J125" s="5">
        <v>76749</v>
      </c>
      <c r="K125" s="5">
        <v>139756</v>
      </c>
      <c r="L125" s="5">
        <v>42556</v>
      </c>
      <c r="M125" s="3" t="s">
        <v>29</v>
      </c>
      <c r="N125" s="10">
        <v>20716</v>
      </c>
      <c r="O125" s="12">
        <f>(Fact_Table[[#This Row],[Petrol_Output_BPD]]+Fact_Table[[#This Row],[Diesel_Output_BPD]]+Fact_Table[[#This Row],[Gas_Output_BPD]])/Fact_Table[[#This Row],[No_of_Employees]]</f>
        <v>197.45503048780489</v>
      </c>
      <c r="P125" s="2" t="str">
        <f>IF(Fact_Table[[#This Row],[0/P Producyivity/Day]]&gt;=1000,"High",IF(Fact_Table[[#This Row],[0/P Producyivity/Day]]&gt;=500,"Medium","Low"))</f>
        <v>Low</v>
      </c>
      <c r="Q125" s="10">
        <f>Fact_Table[[#This Row],[Capacity_BPD]]/Fact_Table[[#This Row],[Average_Salary_AED]]</f>
        <v>12.505454720988608</v>
      </c>
      <c r="R125" s="15">
        <f>(Fact_Table[[#This Row],[Petrol_Output_BPD]]/Fact_Table[[#This Row],[Capacity_BPD]])</f>
        <v>0.29625612302798932</v>
      </c>
      <c r="S125" s="15">
        <f>Fact_Table[[#This Row],[Diesel_Output_BPD]]/Fact_Table[[#This Row],[Capacity_BPD]]</f>
        <v>0.53946723383887318</v>
      </c>
      <c r="T125" s="15">
        <f>Fact_Table[[#This Row],[Gas_Output_BPD]]/Fact_Table[[#This Row],[Capacity_BPD]]</f>
        <v>0.16426892300328491</v>
      </c>
      <c r="U125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25" s="8">
        <f ca="1">YEAR(TODAY())-Fact_Table[[#This Row],[Commissioned_Year]]</f>
        <v>14</v>
      </c>
      <c r="W125" s="40" cm="1">
        <f t="array" ref="W125">_xlfn.XLOOKUP(Fact_Table[[#This Row],[Commissioned_Year]],cost_table[[#All],[Year]],cost_table[[#All],[Average_Crude_Price_USD_per_Barrel]],"0")</f>
        <v>66.099999999999994</v>
      </c>
      <c r="X125" s="40">
        <f>Fact_Table[[#This Row],[Capacity_BPD]]*Fact_Table[[#This Row],[cost per barrel]]</f>
        <v>17124064.299999997</v>
      </c>
    </row>
    <row r="126" spans="1:24" x14ac:dyDescent="0.35">
      <c r="A126" t="s">
        <v>18</v>
      </c>
      <c r="B126" t="s">
        <v>19</v>
      </c>
      <c r="C126" t="s">
        <v>33</v>
      </c>
      <c r="D126" s="5">
        <v>351109</v>
      </c>
      <c r="E126" s="5">
        <v>1986</v>
      </c>
      <c r="F126" s="5">
        <v>1260</v>
      </c>
      <c r="G126" s="3" t="s">
        <v>31</v>
      </c>
      <c r="H126" s="4">
        <v>29.26</v>
      </c>
      <c r="I126" s="4">
        <v>7.51</v>
      </c>
      <c r="J126" s="5">
        <v>140440</v>
      </c>
      <c r="K126" s="5">
        <v>168367</v>
      </c>
      <c r="L126" s="5">
        <v>42301</v>
      </c>
      <c r="M126" s="3" t="s">
        <v>23</v>
      </c>
      <c r="N126" s="10">
        <v>10785</v>
      </c>
      <c r="O126" s="12">
        <f>(Fact_Table[[#This Row],[Petrol_Output_BPD]]+Fact_Table[[#This Row],[Diesel_Output_BPD]]+Fact_Table[[#This Row],[Gas_Output_BPD]])/Fact_Table[[#This Row],[No_of_Employees]]</f>
        <v>278.65714285714284</v>
      </c>
      <c r="P126" s="2" t="str">
        <f>IF(Fact_Table[[#This Row],[0/P Producyivity/Day]]&gt;=1000,"High",IF(Fact_Table[[#This Row],[0/P Producyivity/Day]]&gt;=500,"Medium","Low"))</f>
        <v>Low</v>
      </c>
      <c r="Q126" s="10">
        <f>Fact_Table[[#This Row],[Capacity_BPD]]/Fact_Table[[#This Row],[Average_Salary_AED]]</f>
        <v>32.555308298562821</v>
      </c>
      <c r="R126" s="15">
        <f>(Fact_Table[[#This Row],[Petrol_Output_BPD]]/Fact_Table[[#This Row],[Capacity_BPD]])</f>
        <v>0.3999897467737939</v>
      </c>
      <c r="S126" s="15">
        <f>Fact_Table[[#This Row],[Diesel_Output_BPD]]/Fact_Table[[#This Row],[Capacity_BPD]]</f>
        <v>0.47952914906766847</v>
      </c>
      <c r="T126" s="15">
        <f>Fact_Table[[#This Row],[Gas_Output_BPD]]/Fact_Table[[#This Row],[Capacity_BPD]]</f>
        <v>0.12047825604014707</v>
      </c>
      <c r="U12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26" s="8">
        <f ca="1">YEAR(TODAY())-Fact_Table[[#This Row],[Commissioned_Year]]</f>
        <v>39</v>
      </c>
      <c r="W126" s="40" cm="1">
        <f t="array" ref="W126">_xlfn.XLOOKUP(Fact_Table[[#This Row],[Commissioned_Year]],cost_table[[#All],[Year]],cost_table[[#All],[Average_Crude_Price_USD_per_Barrel]],"0")</f>
        <v>14.4</v>
      </c>
      <c r="X126" s="40">
        <f>Fact_Table[[#This Row],[Capacity_BPD]]*Fact_Table[[#This Row],[cost per barrel]]</f>
        <v>5055969.6000000006</v>
      </c>
    </row>
    <row r="127" spans="1:24" x14ac:dyDescent="0.35">
      <c r="A127" t="s">
        <v>37</v>
      </c>
      <c r="B127" t="s">
        <v>26</v>
      </c>
      <c r="C127" t="s">
        <v>51</v>
      </c>
      <c r="D127" s="5">
        <v>545839</v>
      </c>
      <c r="E127" s="5">
        <v>2000</v>
      </c>
      <c r="F127" s="5">
        <v>726</v>
      </c>
      <c r="G127" s="3" t="s">
        <v>31</v>
      </c>
      <c r="H127" s="4">
        <v>31.36</v>
      </c>
      <c r="I127" s="4">
        <v>5.48</v>
      </c>
      <c r="J127" s="5">
        <v>215143</v>
      </c>
      <c r="K127" s="5">
        <v>209620</v>
      </c>
      <c r="L127" s="5">
        <v>121074</v>
      </c>
      <c r="M127" s="3" t="s">
        <v>34</v>
      </c>
      <c r="N127" s="10">
        <v>17914</v>
      </c>
      <c r="O127" s="12">
        <f>(Fact_Table[[#This Row],[Petrol_Output_BPD]]+Fact_Table[[#This Row],[Diesel_Output_BPD]]+Fact_Table[[#This Row],[Gas_Output_BPD]])/Fact_Table[[#This Row],[No_of_Employees]]</f>
        <v>751.84159779614322</v>
      </c>
      <c r="P127" s="2" t="str">
        <f>IF(Fact_Table[[#This Row],[0/P Producyivity/Day]]&gt;=1000,"High",IF(Fact_Table[[#This Row],[0/P Producyivity/Day]]&gt;=500,"Medium","Low"))</f>
        <v>Medium</v>
      </c>
      <c r="Q127" s="10">
        <f>Fact_Table[[#This Row],[Capacity_BPD]]/Fact_Table[[#This Row],[Average_Salary_AED]]</f>
        <v>30.469967623088088</v>
      </c>
      <c r="R127" s="15">
        <f>(Fact_Table[[#This Row],[Petrol_Output_BPD]]/Fact_Table[[#This Row],[Capacity_BPD]])</f>
        <v>0.39415102255426965</v>
      </c>
      <c r="S127" s="15">
        <f>Fact_Table[[#This Row],[Diesel_Output_BPD]]/Fact_Table[[#This Row],[Capacity_BPD]]</f>
        <v>0.3840326543174819</v>
      </c>
      <c r="T127" s="15">
        <f>Fact_Table[[#This Row],[Gas_Output_BPD]]/Fact_Table[[#This Row],[Capacity_BPD]]</f>
        <v>0.22181265904415037</v>
      </c>
      <c r="U127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27" s="8">
        <f ca="1">YEAR(TODAY())-Fact_Table[[#This Row],[Commissioned_Year]]</f>
        <v>25</v>
      </c>
      <c r="W127" s="40" cm="1">
        <f t="array" ref="W127">_xlfn.XLOOKUP(Fact_Table[[#This Row],[Commissioned_Year]],cost_table[[#All],[Year]],cost_table[[#All],[Average_Crude_Price_USD_per_Barrel]],"0")</f>
        <v>23.1</v>
      </c>
      <c r="X127" s="40">
        <f>Fact_Table[[#This Row],[Capacity_BPD]]*Fact_Table[[#This Row],[cost per barrel]]</f>
        <v>12608880.9</v>
      </c>
    </row>
    <row r="128" spans="1:24" x14ac:dyDescent="0.35">
      <c r="A128" t="s">
        <v>35</v>
      </c>
      <c r="B128" t="s">
        <v>19</v>
      </c>
      <c r="C128" t="s">
        <v>15</v>
      </c>
      <c r="D128" s="5">
        <v>104095</v>
      </c>
      <c r="E128" s="5">
        <v>1996</v>
      </c>
      <c r="F128" s="5">
        <v>1843</v>
      </c>
      <c r="G128" s="3" t="s">
        <v>16</v>
      </c>
      <c r="H128" s="4">
        <v>27.45</v>
      </c>
      <c r="I128" s="4">
        <v>5.82</v>
      </c>
      <c r="J128" s="5">
        <v>46194</v>
      </c>
      <c r="K128" s="5">
        <v>44028</v>
      </c>
      <c r="L128" s="5">
        <v>13872</v>
      </c>
      <c r="M128" s="3" t="s">
        <v>34</v>
      </c>
      <c r="N128" s="10">
        <v>20516</v>
      </c>
      <c r="O128" s="12">
        <f>(Fact_Table[[#This Row],[Petrol_Output_BPD]]+Fact_Table[[#This Row],[Diesel_Output_BPD]]+Fact_Table[[#This Row],[Gas_Output_BPD]])/Fact_Table[[#This Row],[No_of_Employees]]</f>
        <v>56.480737927292459</v>
      </c>
      <c r="P128" s="2" t="str">
        <f>IF(Fact_Table[[#This Row],[0/P Producyivity/Day]]&gt;=1000,"High",IF(Fact_Table[[#This Row],[0/P Producyivity/Day]]&gt;=500,"Medium","Low"))</f>
        <v>Low</v>
      </c>
      <c r="Q128" s="10">
        <f>Fact_Table[[#This Row],[Capacity_BPD]]/Fact_Table[[#This Row],[Average_Salary_AED]]</f>
        <v>5.0738448040553719</v>
      </c>
      <c r="R128" s="15">
        <f>(Fact_Table[[#This Row],[Petrol_Output_BPD]]/Fact_Table[[#This Row],[Capacity_BPD]])</f>
        <v>0.44376771218598393</v>
      </c>
      <c r="S128" s="15">
        <f>Fact_Table[[#This Row],[Diesel_Output_BPD]]/Fact_Table[[#This Row],[Capacity_BPD]]</f>
        <v>0.42295979633988184</v>
      </c>
      <c r="T128" s="15">
        <f>Fact_Table[[#This Row],[Gas_Output_BPD]]/Fact_Table[[#This Row],[Capacity_BPD]]</f>
        <v>0.13326288486478696</v>
      </c>
      <c r="U12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28" s="8">
        <f ca="1">YEAR(TODAY())-Fact_Table[[#This Row],[Commissioned_Year]]</f>
        <v>29</v>
      </c>
      <c r="W128" s="40" cm="1">
        <f t="array" ref="W128">_xlfn.XLOOKUP(Fact_Table[[#This Row],[Commissioned_Year]],cost_table[[#All],[Year]],cost_table[[#All],[Average_Crude_Price_USD_per_Barrel]],"0")</f>
        <v>18</v>
      </c>
      <c r="X128" s="40">
        <f>Fact_Table[[#This Row],[Capacity_BPD]]*Fact_Table[[#This Row],[cost per barrel]]</f>
        <v>1873710</v>
      </c>
    </row>
    <row r="129" spans="1:24" x14ac:dyDescent="0.35">
      <c r="A129" t="s">
        <v>18</v>
      </c>
      <c r="B129" t="s">
        <v>19</v>
      </c>
      <c r="C129" t="s">
        <v>50</v>
      </c>
      <c r="D129" s="5">
        <v>466967</v>
      </c>
      <c r="E129" s="5">
        <v>2022</v>
      </c>
      <c r="F129" s="5">
        <v>2496</v>
      </c>
      <c r="G129" s="3" t="s">
        <v>16</v>
      </c>
      <c r="H129" s="4">
        <v>12.39</v>
      </c>
      <c r="I129" s="4">
        <v>9.4</v>
      </c>
      <c r="J129" s="5">
        <v>213448</v>
      </c>
      <c r="K129" s="5">
        <v>192036</v>
      </c>
      <c r="L129" s="5">
        <v>61481</v>
      </c>
      <c r="M129" s="3" t="s">
        <v>23</v>
      </c>
      <c r="N129" s="10">
        <v>15557</v>
      </c>
      <c r="O129" s="12">
        <f>(Fact_Table[[#This Row],[Petrol_Output_BPD]]+Fact_Table[[#This Row],[Diesel_Output_BPD]]+Fact_Table[[#This Row],[Gas_Output_BPD]])/Fact_Table[[#This Row],[No_of_Employees]]</f>
        <v>187.08533653846155</v>
      </c>
      <c r="P129" s="2" t="str">
        <f>IF(Fact_Table[[#This Row],[0/P Producyivity/Day]]&gt;=1000,"High",IF(Fact_Table[[#This Row],[0/P Producyivity/Day]]&gt;=500,"Medium","Low"))</f>
        <v>Low</v>
      </c>
      <c r="Q129" s="10">
        <f>Fact_Table[[#This Row],[Capacity_BPD]]/Fact_Table[[#This Row],[Average_Salary_AED]]</f>
        <v>30.016519894581219</v>
      </c>
      <c r="R129" s="15">
        <f>(Fact_Table[[#This Row],[Petrol_Output_BPD]]/Fact_Table[[#This Row],[Capacity_BPD]])</f>
        <v>0.45709439853351519</v>
      </c>
      <c r="S129" s="15">
        <f>Fact_Table[[#This Row],[Diesel_Output_BPD]]/Fact_Table[[#This Row],[Capacity_BPD]]</f>
        <v>0.41124105129484523</v>
      </c>
      <c r="T129" s="15">
        <f>Fact_Table[[#This Row],[Gas_Output_BPD]]/Fact_Table[[#This Row],[Capacity_BPD]]</f>
        <v>0.13166026721374316</v>
      </c>
      <c r="U129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29" s="8">
        <f ca="1">YEAR(TODAY())-Fact_Table[[#This Row],[Commissioned_Year]]</f>
        <v>3</v>
      </c>
      <c r="W129" s="40" cm="1">
        <f t="array" ref="W129">_xlfn.XLOOKUP(Fact_Table[[#This Row],[Commissioned_Year]],cost_table[[#All],[Year]],cost_table[[#All],[Average_Crude_Price_USD_per_Barrel]],"0")</f>
        <v>71.3</v>
      </c>
      <c r="X129" s="40">
        <f>Fact_Table[[#This Row],[Capacity_BPD]]*Fact_Table[[#This Row],[cost per barrel]]</f>
        <v>33294747.099999998</v>
      </c>
    </row>
    <row r="130" spans="1:24" x14ac:dyDescent="0.35">
      <c r="A130" t="s">
        <v>45</v>
      </c>
      <c r="B130" t="s">
        <v>26</v>
      </c>
      <c r="C130" t="s">
        <v>50</v>
      </c>
      <c r="D130" s="5">
        <v>258788</v>
      </c>
      <c r="E130" s="5">
        <v>2000</v>
      </c>
      <c r="F130" s="5">
        <v>1403</v>
      </c>
      <c r="G130" s="3" t="s">
        <v>28</v>
      </c>
      <c r="H130" s="4">
        <v>24.83</v>
      </c>
      <c r="I130" s="4">
        <v>9.6300000000000008</v>
      </c>
      <c r="J130" s="5">
        <v>92458</v>
      </c>
      <c r="K130" s="5">
        <v>109412</v>
      </c>
      <c r="L130" s="5">
        <v>56917</v>
      </c>
      <c r="M130" s="3" t="s">
        <v>38</v>
      </c>
      <c r="N130" s="10">
        <v>10559</v>
      </c>
      <c r="O130" s="12">
        <f>(Fact_Table[[#This Row],[Petrol_Output_BPD]]+Fact_Table[[#This Row],[Diesel_Output_BPD]]+Fact_Table[[#This Row],[Gas_Output_BPD]])/Fact_Table[[#This Row],[No_of_Employees]]</f>
        <v>184.45260156806842</v>
      </c>
      <c r="P130" s="2" t="str">
        <f>IF(Fact_Table[[#This Row],[0/P Producyivity/Day]]&gt;=1000,"High",IF(Fact_Table[[#This Row],[0/P Producyivity/Day]]&gt;=500,"Medium","Low"))</f>
        <v>Low</v>
      </c>
      <c r="Q130" s="10">
        <f>Fact_Table[[#This Row],[Capacity_BPD]]/Fact_Table[[#This Row],[Average_Salary_AED]]</f>
        <v>24.508760299270765</v>
      </c>
      <c r="R130" s="15">
        <f>(Fact_Table[[#This Row],[Petrol_Output_BPD]]/Fact_Table[[#This Row],[Capacity_BPD]])</f>
        <v>0.3572731347666816</v>
      </c>
      <c r="S130" s="15">
        <f>Fact_Table[[#This Row],[Diesel_Output_BPD]]/Fact_Table[[#This Row],[Capacity_BPD]]</f>
        <v>0.42278621883549466</v>
      </c>
      <c r="T130" s="15">
        <f>Fact_Table[[#This Row],[Gas_Output_BPD]]/Fact_Table[[#This Row],[Capacity_BPD]]</f>
        <v>0.21993678223101534</v>
      </c>
      <c r="U130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30" s="8">
        <f ca="1">YEAR(TODAY())-Fact_Table[[#This Row],[Commissioned_Year]]</f>
        <v>25</v>
      </c>
      <c r="W130" s="40" cm="1">
        <f t="array" ref="W130">_xlfn.XLOOKUP(Fact_Table[[#This Row],[Commissioned_Year]],cost_table[[#All],[Year]],cost_table[[#All],[Average_Crude_Price_USD_per_Barrel]],"0")</f>
        <v>23.1</v>
      </c>
      <c r="X130" s="40">
        <f>Fact_Table[[#This Row],[Capacity_BPD]]*Fact_Table[[#This Row],[cost per barrel]]</f>
        <v>5978002.8000000007</v>
      </c>
    </row>
    <row r="131" spans="1:24" x14ac:dyDescent="0.35">
      <c r="A131" t="s">
        <v>37</v>
      </c>
      <c r="B131" t="s">
        <v>14</v>
      </c>
      <c r="C131" t="s">
        <v>15</v>
      </c>
      <c r="D131" s="5">
        <v>292881</v>
      </c>
      <c r="E131" s="5">
        <v>2016</v>
      </c>
      <c r="F131" s="5">
        <v>2249</v>
      </c>
      <c r="G131" s="3" t="s">
        <v>16</v>
      </c>
      <c r="H131" s="4">
        <v>13.94</v>
      </c>
      <c r="I131" s="4">
        <v>6.72</v>
      </c>
      <c r="J131" s="5">
        <v>113530</v>
      </c>
      <c r="K131" s="5">
        <v>111212</v>
      </c>
      <c r="L131" s="5">
        <v>68138</v>
      </c>
      <c r="M131" s="3" t="s">
        <v>29</v>
      </c>
      <c r="N131" s="10">
        <v>20053</v>
      </c>
      <c r="O131" s="12">
        <f>(Fact_Table[[#This Row],[Petrol_Output_BPD]]+Fact_Table[[#This Row],[Diesel_Output_BPD]]+Fact_Table[[#This Row],[Gas_Output_BPD]])/Fact_Table[[#This Row],[No_of_Employees]]</f>
        <v>130.22676745220099</v>
      </c>
      <c r="P131" s="2" t="str">
        <f>IF(Fact_Table[[#This Row],[0/P Producyivity/Day]]&gt;=1000,"High",IF(Fact_Table[[#This Row],[0/P Producyivity/Day]]&gt;=500,"Medium","Low"))</f>
        <v>Low</v>
      </c>
      <c r="Q131" s="10">
        <f>Fact_Table[[#This Row],[Capacity_BPD]]/Fact_Table[[#This Row],[Average_Salary_AED]]</f>
        <v>14.605345833541117</v>
      </c>
      <c r="R131" s="15">
        <f>(Fact_Table[[#This Row],[Petrol_Output_BPD]]/Fact_Table[[#This Row],[Capacity_BPD]])</f>
        <v>0.38763183682109797</v>
      </c>
      <c r="S131" s="15">
        <f>Fact_Table[[#This Row],[Diesel_Output_BPD]]/Fact_Table[[#This Row],[Capacity_BPD]]</f>
        <v>0.37971735961021713</v>
      </c>
      <c r="T131" s="15">
        <f>Fact_Table[[#This Row],[Gas_Output_BPD]]/Fact_Table[[#This Row],[Capacity_BPD]]</f>
        <v>0.23264738921268366</v>
      </c>
      <c r="U13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31" s="8">
        <f ca="1">YEAR(TODAY())-Fact_Table[[#This Row],[Commissioned_Year]]</f>
        <v>9</v>
      </c>
      <c r="W131" s="40" cm="1">
        <f t="array" ref="W131">_xlfn.XLOOKUP(Fact_Table[[#This Row],[Commissioned_Year]],cost_table[[#All],[Year]],cost_table[[#All],[Average_Crude_Price_USD_per_Barrel]],"0")</f>
        <v>54.2</v>
      </c>
      <c r="X131" s="40">
        <f>Fact_Table[[#This Row],[Capacity_BPD]]*Fact_Table[[#This Row],[cost per barrel]]</f>
        <v>15874150.200000001</v>
      </c>
    </row>
    <row r="132" spans="1:24" x14ac:dyDescent="0.35">
      <c r="A132" t="s">
        <v>45</v>
      </c>
      <c r="B132" t="s">
        <v>26</v>
      </c>
      <c r="C132" t="s">
        <v>51</v>
      </c>
      <c r="D132" s="5">
        <v>83845</v>
      </c>
      <c r="E132" s="5">
        <v>1983</v>
      </c>
      <c r="F132" s="5">
        <v>946</v>
      </c>
      <c r="G132" s="3" t="s">
        <v>31</v>
      </c>
      <c r="H132" s="4">
        <v>20.25</v>
      </c>
      <c r="I132" s="4">
        <v>9.32</v>
      </c>
      <c r="J132" s="5">
        <v>37069</v>
      </c>
      <c r="K132" s="5">
        <v>35661</v>
      </c>
      <c r="L132" s="5">
        <v>11113</v>
      </c>
      <c r="M132" s="3" t="s">
        <v>34</v>
      </c>
      <c r="N132" s="10">
        <v>11467</v>
      </c>
      <c r="O132" s="12">
        <f>(Fact_Table[[#This Row],[Petrol_Output_BPD]]+Fact_Table[[#This Row],[Diesel_Output_BPD]]+Fact_Table[[#This Row],[Gas_Output_BPD]])/Fact_Table[[#This Row],[No_of_Employees]]</f>
        <v>88.628964059196619</v>
      </c>
      <c r="P132" s="2" t="str">
        <f>IF(Fact_Table[[#This Row],[0/P Producyivity/Day]]&gt;=1000,"High",IF(Fact_Table[[#This Row],[0/P Producyivity/Day]]&gt;=500,"Medium","Low"))</f>
        <v>Low</v>
      </c>
      <c r="Q132" s="10">
        <f>Fact_Table[[#This Row],[Capacity_BPD]]/Fact_Table[[#This Row],[Average_Salary_AED]]</f>
        <v>7.3118513996686145</v>
      </c>
      <c r="R132" s="15">
        <f>(Fact_Table[[#This Row],[Petrol_Output_BPD]]/Fact_Table[[#This Row],[Capacity_BPD]])</f>
        <v>0.44211342357922356</v>
      </c>
      <c r="S132" s="15">
        <f>Fact_Table[[#This Row],[Diesel_Output_BPD]]/Fact_Table[[#This Row],[Capacity_BPD]]</f>
        <v>0.42532053193392572</v>
      </c>
      <c r="T132" s="15">
        <f>Fact_Table[[#This Row],[Gas_Output_BPD]]/Fact_Table[[#This Row],[Capacity_BPD]]</f>
        <v>0.13254219094758185</v>
      </c>
      <c r="U132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32" s="8">
        <f ca="1">YEAR(TODAY())-Fact_Table[[#This Row],[Commissioned_Year]]</f>
        <v>42</v>
      </c>
      <c r="W132" s="40" cm="1">
        <f t="array" ref="W132">_xlfn.XLOOKUP(Fact_Table[[#This Row],[Commissioned_Year]],cost_table[[#All],[Year]],cost_table[[#All],[Average_Crude_Price_USD_per_Barrel]],"0")</f>
        <v>29</v>
      </c>
      <c r="X132" s="40">
        <f>Fact_Table[[#This Row],[Capacity_BPD]]*Fact_Table[[#This Row],[cost per barrel]]</f>
        <v>2431505</v>
      </c>
    </row>
    <row r="133" spans="1:24" x14ac:dyDescent="0.35">
      <c r="A133" t="s">
        <v>37</v>
      </c>
      <c r="B133" t="s">
        <v>40</v>
      </c>
      <c r="C133" t="s">
        <v>51</v>
      </c>
      <c r="D133" s="5">
        <v>659239</v>
      </c>
      <c r="E133" s="5">
        <v>2018</v>
      </c>
      <c r="F133" s="5">
        <v>930</v>
      </c>
      <c r="G133" s="3" t="s">
        <v>21</v>
      </c>
      <c r="H133" s="4">
        <v>11.29</v>
      </c>
      <c r="I133" s="4">
        <v>7.3</v>
      </c>
      <c r="J133" s="5">
        <v>253898</v>
      </c>
      <c r="K133" s="5">
        <v>258769</v>
      </c>
      <c r="L133" s="5">
        <v>146570</v>
      </c>
      <c r="M133" s="3" t="s">
        <v>38</v>
      </c>
      <c r="N133" s="10">
        <v>23734</v>
      </c>
      <c r="O133" s="12">
        <f>(Fact_Table[[#This Row],[Petrol_Output_BPD]]+Fact_Table[[#This Row],[Diesel_Output_BPD]]+Fact_Table[[#This Row],[Gas_Output_BPD]])/Fact_Table[[#This Row],[No_of_Employees]]</f>
        <v>708.85698924731184</v>
      </c>
      <c r="P133" s="2" t="str">
        <f>IF(Fact_Table[[#This Row],[0/P Producyivity/Day]]&gt;=1000,"High",IF(Fact_Table[[#This Row],[0/P Producyivity/Day]]&gt;=500,"Medium","Low"))</f>
        <v>Medium</v>
      </c>
      <c r="Q133" s="10">
        <f>Fact_Table[[#This Row],[Capacity_BPD]]/Fact_Table[[#This Row],[Average_Salary_AED]]</f>
        <v>27.776143928541334</v>
      </c>
      <c r="R133" s="15">
        <f>(Fact_Table[[#This Row],[Petrol_Output_BPD]]/Fact_Table[[#This Row],[Capacity_BPD]])</f>
        <v>0.38513801519630969</v>
      </c>
      <c r="S133" s="15">
        <f>Fact_Table[[#This Row],[Diesel_Output_BPD]]/Fact_Table[[#This Row],[Capacity_BPD]]</f>
        <v>0.39252683776293573</v>
      </c>
      <c r="T133" s="15">
        <f>Fact_Table[[#This Row],[Gas_Output_BPD]]/Fact_Table[[#This Row],[Capacity_BPD]]</f>
        <v>0.22233211323965968</v>
      </c>
      <c r="U133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33" s="8">
        <f ca="1">YEAR(TODAY())-Fact_Table[[#This Row],[Commissioned_Year]]</f>
        <v>7</v>
      </c>
      <c r="W133" s="40" cm="1">
        <f t="array" ref="W133">_xlfn.XLOOKUP(Fact_Table[[#This Row],[Commissioned_Year]],cost_table[[#All],[Year]],cost_table[[#All],[Average_Crude_Price_USD_per_Barrel]],"0")</f>
        <v>100.2</v>
      </c>
      <c r="X133" s="40">
        <f>Fact_Table[[#This Row],[Capacity_BPD]]*Fact_Table[[#This Row],[cost per barrel]]</f>
        <v>66055747.800000004</v>
      </c>
    </row>
    <row r="134" spans="1:24" x14ac:dyDescent="0.35">
      <c r="A134" t="s">
        <v>60</v>
      </c>
      <c r="B134" t="s">
        <v>25</v>
      </c>
      <c r="C134" t="s">
        <v>33</v>
      </c>
      <c r="D134" s="5">
        <v>226168</v>
      </c>
      <c r="E134" s="5">
        <v>1987</v>
      </c>
      <c r="F134" s="5">
        <v>2268</v>
      </c>
      <c r="G134" s="3" t="s">
        <v>31</v>
      </c>
      <c r="H134" s="4">
        <v>16.260000000000002</v>
      </c>
      <c r="I134" s="4">
        <v>8.1199999999999992</v>
      </c>
      <c r="J134" s="5">
        <v>96952</v>
      </c>
      <c r="K134" s="5">
        <v>89920</v>
      </c>
      <c r="L134" s="5">
        <v>39295</v>
      </c>
      <c r="M134" s="3" t="s">
        <v>23</v>
      </c>
      <c r="N134" s="10">
        <v>23738</v>
      </c>
      <c r="O134" s="12">
        <f>(Fact_Table[[#This Row],[Petrol_Output_BPD]]+Fact_Table[[#This Row],[Diesel_Output_BPD]]+Fact_Table[[#This Row],[Gas_Output_BPD]])/Fact_Table[[#This Row],[No_of_Employees]]</f>
        <v>99.720899470899468</v>
      </c>
      <c r="P134" s="2" t="str">
        <f>IF(Fact_Table[[#This Row],[0/P Producyivity/Day]]&gt;=1000,"High",IF(Fact_Table[[#This Row],[0/P Producyivity/Day]]&gt;=500,"Medium","Low"))</f>
        <v>Low</v>
      </c>
      <c r="Q134" s="10">
        <f>Fact_Table[[#This Row],[Capacity_BPD]]/Fact_Table[[#This Row],[Average_Salary_AED]]</f>
        <v>9.5276771421349729</v>
      </c>
      <c r="R134" s="15">
        <f>(Fact_Table[[#This Row],[Petrol_Output_BPD]]/Fact_Table[[#This Row],[Capacity_BPD]])</f>
        <v>0.42867249124544587</v>
      </c>
      <c r="S134" s="15">
        <f>Fact_Table[[#This Row],[Diesel_Output_BPD]]/Fact_Table[[#This Row],[Capacity_BPD]]</f>
        <v>0.39758055958402605</v>
      </c>
      <c r="T134" s="15">
        <f>Fact_Table[[#This Row],[Gas_Output_BPD]]/Fact_Table[[#This Row],[Capacity_BPD]]</f>
        <v>0.17374252767853984</v>
      </c>
      <c r="U134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34" s="8">
        <f ca="1">YEAR(TODAY())-Fact_Table[[#This Row],[Commissioned_Year]]</f>
        <v>38</v>
      </c>
      <c r="W134" s="40" cm="1">
        <f t="array" ref="W134">_xlfn.XLOOKUP(Fact_Table[[#This Row],[Commissioned_Year]],cost_table[[#All],[Year]],cost_table[[#All],[Average_Crude_Price_USD_per_Barrel]],"0")</f>
        <v>18.399999999999999</v>
      </c>
      <c r="X134" s="40">
        <f>Fact_Table[[#This Row],[Capacity_BPD]]*Fact_Table[[#This Row],[cost per barrel]]</f>
        <v>4161491.1999999997</v>
      </c>
    </row>
    <row r="135" spans="1:24" x14ac:dyDescent="0.35">
      <c r="A135" t="s">
        <v>60</v>
      </c>
      <c r="B135" t="s">
        <v>19</v>
      </c>
      <c r="C135" t="s">
        <v>50</v>
      </c>
      <c r="D135" s="5">
        <v>142494</v>
      </c>
      <c r="E135" s="5">
        <v>1998</v>
      </c>
      <c r="F135" s="5">
        <v>2264</v>
      </c>
      <c r="G135" s="3" t="s">
        <v>21</v>
      </c>
      <c r="H135" s="4">
        <v>4.1399999999999997</v>
      </c>
      <c r="I135" s="4">
        <v>8.7200000000000006</v>
      </c>
      <c r="J135" s="5">
        <v>41906</v>
      </c>
      <c r="K135" s="5">
        <v>76963</v>
      </c>
      <c r="L135" s="5">
        <v>23624</v>
      </c>
      <c r="M135" s="3" t="s">
        <v>34</v>
      </c>
      <c r="N135" s="10">
        <v>22133</v>
      </c>
      <c r="O135" s="12">
        <f>(Fact_Table[[#This Row],[Petrol_Output_BPD]]+Fact_Table[[#This Row],[Diesel_Output_BPD]]+Fact_Table[[#This Row],[Gas_Output_BPD]])/Fact_Table[[#This Row],[No_of_Employees]]</f>
        <v>62.938604240282686</v>
      </c>
      <c r="P135" s="2" t="str">
        <f>IF(Fact_Table[[#This Row],[0/P Producyivity/Day]]&gt;=1000,"High",IF(Fact_Table[[#This Row],[0/P Producyivity/Day]]&gt;=500,"Medium","Low"))</f>
        <v>Low</v>
      </c>
      <c r="Q135" s="10">
        <f>Fact_Table[[#This Row],[Capacity_BPD]]/Fact_Table[[#This Row],[Average_Salary_AED]]</f>
        <v>6.4380788867302217</v>
      </c>
      <c r="R135" s="15">
        <f>(Fact_Table[[#This Row],[Petrol_Output_BPD]]/Fact_Table[[#This Row],[Capacity_BPD]])</f>
        <v>0.29408957570143307</v>
      </c>
      <c r="S135" s="15">
        <f>Fact_Table[[#This Row],[Diesel_Output_BPD]]/Fact_Table[[#This Row],[Capacity_BPD]]</f>
        <v>0.54011396971100534</v>
      </c>
      <c r="T135" s="15">
        <f>Fact_Table[[#This Row],[Gas_Output_BPD]]/Fact_Table[[#This Row],[Capacity_BPD]]</f>
        <v>0.16578943674821395</v>
      </c>
      <c r="U135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35" s="8">
        <f ca="1">YEAR(TODAY())-Fact_Table[[#This Row],[Commissioned_Year]]</f>
        <v>27</v>
      </c>
      <c r="W135" s="40" cm="1">
        <f t="array" ref="W135">_xlfn.XLOOKUP(Fact_Table[[#This Row],[Commissioned_Year]],cost_table[[#All],[Year]],cost_table[[#All],[Average_Crude_Price_USD_per_Barrel]],"0")</f>
        <v>12.8</v>
      </c>
      <c r="X135" s="40">
        <f>Fact_Table[[#This Row],[Capacity_BPD]]*Fact_Table[[#This Row],[cost per barrel]]</f>
        <v>1823923.2000000002</v>
      </c>
    </row>
    <row r="136" spans="1:24" x14ac:dyDescent="0.35">
      <c r="A136" t="s">
        <v>36</v>
      </c>
      <c r="B136" t="s">
        <v>25</v>
      </c>
      <c r="C136" t="s">
        <v>39</v>
      </c>
      <c r="D136" s="5">
        <v>276530</v>
      </c>
      <c r="E136" s="5">
        <v>2021</v>
      </c>
      <c r="F136" s="5">
        <v>2486</v>
      </c>
      <c r="G136" s="3" t="s">
        <v>31</v>
      </c>
      <c r="H136" s="4">
        <v>3.56</v>
      </c>
      <c r="I136" s="4">
        <v>8.58</v>
      </c>
      <c r="J136" s="5">
        <v>101564</v>
      </c>
      <c r="K136" s="5">
        <v>102966</v>
      </c>
      <c r="L136" s="5">
        <v>71998</v>
      </c>
      <c r="M136" s="3" t="s">
        <v>29</v>
      </c>
      <c r="N136" s="10">
        <v>14618</v>
      </c>
      <c r="O136" s="12">
        <f>(Fact_Table[[#This Row],[Petrol_Output_BPD]]+Fact_Table[[#This Row],[Diesel_Output_BPD]]+Fact_Table[[#This Row],[Gas_Output_BPD]])/Fact_Table[[#This Row],[No_of_Employees]]</f>
        <v>111.23411102172165</v>
      </c>
      <c r="P136" s="2" t="str">
        <f>IF(Fact_Table[[#This Row],[0/P Producyivity/Day]]&gt;=1000,"High",IF(Fact_Table[[#This Row],[0/P Producyivity/Day]]&gt;=500,"Medium","Low"))</f>
        <v>Low</v>
      </c>
      <c r="Q136" s="10">
        <f>Fact_Table[[#This Row],[Capacity_BPD]]/Fact_Table[[#This Row],[Average_Salary_AED]]</f>
        <v>18.917088521001507</v>
      </c>
      <c r="R136" s="15">
        <f>(Fact_Table[[#This Row],[Petrol_Output_BPD]]/Fact_Table[[#This Row],[Capacity_BPD]])</f>
        <v>0.36728022276064082</v>
      </c>
      <c r="S136" s="15">
        <f>Fact_Table[[#This Row],[Diesel_Output_BPD]]/Fact_Table[[#This Row],[Capacity_BPD]]</f>
        <v>0.3723501970853072</v>
      </c>
      <c r="T136" s="15">
        <f>Fact_Table[[#This Row],[Gas_Output_BPD]]/Fact_Table[[#This Row],[Capacity_BPD]]</f>
        <v>0.26036234766571437</v>
      </c>
      <c r="U136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36" s="8">
        <f ca="1">YEAR(TODAY())-Fact_Table[[#This Row],[Commissioned_Year]]</f>
        <v>4</v>
      </c>
      <c r="W136" s="40" cm="1">
        <f t="array" ref="W136">_xlfn.XLOOKUP(Fact_Table[[#This Row],[Commissioned_Year]],cost_table[[#All],[Year]],cost_table[[#All],[Average_Crude_Price_USD_per_Barrel]],"0")</f>
        <v>54.2</v>
      </c>
      <c r="X136" s="40">
        <f>Fact_Table[[#This Row],[Capacity_BPD]]*Fact_Table[[#This Row],[cost per barrel]]</f>
        <v>14987926</v>
      </c>
    </row>
    <row r="137" spans="1:24" x14ac:dyDescent="0.35">
      <c r="A137" t="s">
        <v>18</v>
      </c>
      <c r="B137" t="s">
        <v>32</v>
      </c>
      <c r="C137" t="s">
        <v>39</v>
      </c>
      <c r="D137" s="5">
        <v>746610</v>
      </c>
      <c r="E137" s="5">
        <v>2007</v>
      </c>
      <c r="F137" s="5">
        <v>2317</v>
      </c>
      <c r="G137" s="3" t="s">
        <v>21</v>
      </c>
      <c r="H137" s="4">
        <v>27.05</v>
      </c>
      <c r="I137" s="4">
        <v>6.69</v>
      </c>
      <c r="J137" s="5">
        <v>259493</v>
      </c>
      <c r="K137" s="5">
        <v>368052</v>
      </c>
      <c r="L137" s="5">
        <v>119063</v>
      </c>
      <c r="M137" s="3" t="s">
        <v>29</v>
      </c>
      <c r="N137" s="10">
        <v>22228</v>
      </c>
      <c r="O137" s="12">
        <f>(Fact_Table[[#This Row],[Petrol_Output_BPD]]+Fact_Table[[#This Row],[Diesel_Output_BPD]]+Fact_Table[[#This Row],[Gas_Output_BPD]])/Fact_Table[[#This Row],[No_of_Employees]]</f>
        <v>322.2304704359085</v>
      </c>
      <c r="P137" s="2" t="str">
        <f>IF(Fact_Table[[#This Row],[0/P Producyivity/Day]]&gt;=1000,"High",IF(Fact_Table[[#This Row],[0/P Producyivity/Day]]&gt;=500,"Medium","Low"))</f>
        <v>Low</v>
      </c>
      <c r="Q137" s="10">
        <f>Fact_Table[[#This Row],[Capacity_BPD]]/Fact_Table[[#This Row],[Average_Salary_AED]]</f>
        <v>33.588716933597262</v>
      </c>
      <c r="R137" s="15">
        <f>(Fact_Table[[#This Row],[Petrol_Output_BPD]]/Fact_Table[[#This Row],[Capacity_BPD]])</f>
        <v>0.34756164530343819</v>
      </c>
      <c r="S137" s="15">
        <f>Fact_Table[[#This Row],[Diesel_Output_BPD]]/Fact_Table[[#This Row],[Capacity_BPD]]</f>
        <v>0.49296419817575443</v>
      </c>
      <c r="T137" s="15">
        <f>Fact_Table[[#This Row],[Gas_Output_BPD]]/Fact_Table[[#This Row],[Capacity_BPD]]</f>
        <v>0.15947147774607895</v>
      </c>
      <c r="U137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37" s="8">
        <f ca="1">YEAR(TODAY())-Fact_Table[[#This Row],[Commissioned_Year]]</f>
        <v>18</v>
      </c>
      <c r="W137" s="40" cm="1">
        <f t="array" ref="W137">_xlfn.XLOOKUP(Fact_Table[[#This Row],[Commissioned_Year]],cost_table[[#All],[Year]],cost_table[[#All],[Average_Crude_Price_USD_per_Barrel]],"0")</f>
        <v>24.4</v>
      </c>
      <c r="X137" s="40">
        <f>Fact_Table[[#This Row],[Capacity_BPD]]*Fact_Table[[#This Row],[cost per barrel]]</f>
        <v>18217284</v>
      </c>
    </row>
    <row r="138" spans="1:24" x14ac:dyDescent="0.35">
      <c r="A138" t="s">
        <v>24</v>
      </c>
      <c r="B138" t="s">
        <v>14</v>
      </c>
      <c r="C138" t="s">
        <v>39</v>
      </c>
      <c r="D138" s="5">
        <v>864048</v>
      </c>
      <c r="E138" s="5">
        <v>1995</v>
      </c>
      <c r="F138" s="5">
        <v>1598</v>
      </c>
      <c r="G138" s="3" t="s">
        <v>31</v>
      </c>
      <c r="H138" s="4">
        <v>32.96</v>
      </c>
      <c r="I138" s="4">
        <v>7.22</v>
      </c>
      <c r="J138" s="5">
        <v>352311</v>
      </c>
      <c r="K138" s="5">
        <v>305605</v>
      </c>
      <c r="L138" s="5">
        <v>206130</v>
      </c>
      <c r="M138" s="3" t="s">
        <v>38</v>
      </c>
      <c r="N138" s="10">
        <v>14406</v>
      </c>
      <c r="O138" s="12">
        <f>(Fact_Table[[#This Row],[Petrol_Output_BPD]]+Fact_Table[[#This Row],[Diesel_Output_BPD]]+Fact_Table[[#This Row],[Gas_Output_BPD]])/Fact_Table[[#This Row],[No_of_Employees]]</f>
        <v>540.70463078848559</v>
      </c>
      <c r="P138" s="2" t="str">
        <f>IF(Fact_Table[[#This Row],[0/P Producyivity/Day]]&gt;=1000,"High",IF(Fact_Table[[#This Row],[0/P Producyivity/Day]]&gt;=500,"Medium","Low"))</f>
        <v>Medium</v>
      </c>
      <c r="Q138" s="10">
        <f>Fact_Table[[#This Row],[Capacity_BPD]]/Fact_Table[[#This Row],[Average_Salary_AED]]</f>
        <v>59.978342357351103</v>
      </c>
      <c r="R138" s="15">
        <f>(Fact_Table[[#This Row],[Petrol_Output_BPD]]/Fact_Table[[#This Row],[Capacity_BPD]])</f>
        <v>0.4077447086272985</v>
      </c>
      <c r="S138" s="15">
        <f>Fact_Table[[#This Row],[Diesel_Output_BPD]]/Fact_Table[[#This Row],[Capacity_BPD]]</f>
        <v>0.35368984130511266</v>
      </c>
      <c r="T138" s="15">
        <f>Fact_Table[[#This Row],[Gas_Output_BPD]]/Fact_Table[[#This Row],[Capacity_BPD]]</f>
        <v>0.2385631353813677</v>
      </c>
      <c r="U13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38" s="8">
        <f ca="1">YEAR(TODAY())-Fact_Table[[#This Row],[Commissioned_Year]]</f>
        <v>30</v>
      </c>
      <c r="W138" s="40" cm="1">
        <f t="array" ref="W138">_xlfn.XLOOKUP(Fact_Table[[#This Row],[Commissioned_Year]],cost_table[[#All],[Year]],cost_table[[#All],[Average_Crude_Price_USD_per_Barrel]],"0")</f>
        <v>20.100000000000001</v>
      </c>
      <c r="X138" s="40">
        <f>Fact_Table[[#This Row],[Capacity_BPD]]*Fact_Table[[#This Row],[cost per barrel]]</f>
        <v>17367364.800000001</v>
      </c>
    </row>
    <row r="139" spans="1:24" x14ac:dyDescent="0.35">
      <c r="A139" t="s">
        <v>36</v>
      </c>
      <c r="B139" t="s">
        <v>19</v>
      </c>
      <c r="C139" t="s">
        <v>15</v>
      </c>
      <c r="D139" s="5">
        <v>704487</v>
      </c>
      <c r="E139" s="5">
        <v>1987</v>
      </c>
      <c r="F139" s="5">
        <v>2463</v>
      </c>
      <c r="G139" s="3" t="s">
        <v>16</v>
      </c>
      <c r="H139" s="4">
        <v>2.0499999999999998</v>
      </c>
      <c r="I139" s="4">
        <v>9.5399999999999991</v>
      </c>
      <c r="J139" s="5">
        <v>282164</v>
      </c>
      <c r="K139" s="5">
        <v>233039</v>
      </c>
      <c r="L139" s="5">
        <v>189283</v>
      </c>
      <c r="M139" s="3" t="s">
        <v>34</v>
      </c>
      <c r="N139" s="10">
        <v>21818</v>
      </c>
      <c r="O139" s="12">
        <f>(Fact_Table[[#This Row],[Petrol_Output_BPD]]+Fact_Table[[#This Row],[Diesel_Output_BPD]]+Fact_Table[[#This Row],[Gas_Output_BPD]])/Fact_Table[[#This Row],[No_of_Employees]]</f>
        <v>286.02760860738937</v>
      </c>
      <c r="P139" s="2" t="str">
        <f>IF(Fact_Table[[#This Row],[0/P Producyivity/Day]]&gt;=1000,"High",IF(Fact_Table[[#This Row],[0/P Producyivity/Day]]&gt;=500,"Medium","Low"))</f>
        <v>Low</v>
      </c>
      <c r="Q139" s="10">
        <f>Fact_Table[[#This Row],[Capacity_BPD]]/Fact_Table[[#This Row],[Average_Salary_AED]]</f>
        <v>32.28925657713814</v>
      </c>
      <c r="R139" s="15">
        <f>(Fact_Table[[#This Row],[Petrol_Output_BPD]]/Fact_Table[[#This Row],[Capacity_BPD]])</f>
        <v>0.400524069287297</v>
      </c>
      <c r="S139" s="15">
        <f>Fact_Table[[#This Row],[Diesel_Output_BPD]]/Fact_Table[[#This Row],[Capacity_BPD]]</f>
        <v>0.33079247736296058</v>
      </c>
      <c r="T139" s="15">
        <f>Fact_Table[[#This Row],[Gas_Output_BPD]]/Fact_Table[[#This Row],[Capacity_BPD]]</f>
        <v>0.2686820338771333</v>
      </c>
      <c r="U139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39" s="8">
        <f ca="1">YEAR(TODAY())-Fact_Table[[#This Row],[Commissioned_Year]]</f>
        <v>38</v>
      </c>
      <c r="W139" s="40" cm="1">
        <f t="array" ref="W139">_xlfn.XLOOKUP(Fact_Table[[#This Row],[Commissioned_Year]],cost_table[[#All],[Year]],cost_table[[#All],[Average_Crude_Price_USD_per_Barrel]],"0")</f>
        <v>18.399999999999999</v>
      </c>
      <c r="X139" s="40">
        <f>Fact_Table[[#This Row],[Capacity_BPD]]*Fact_Table[[#This Row],[cost per barrel]]</f>
        <v>12962560.799999999</v>
      </c>
    </row>
    <row r="140" spans="1:24" x14ac:dyDescent="0.35">
      <c r="A140" t="s">
        <v>22</v>
      </c>
      <c r="B140" t="s">
        <v>25</v>
      </c>
      <c r="C140" t="s">
        <v>50</v>
      </c>
      <c r="D140" s="5">
        <v>374910</v>
      </c>
      <c r="E140" s="5">
        <v>1986</v>
      </c>
      <c r="F140" s="5">
        <v>836</v>
      </c>
      <c r="G140" s="3" t="s">
        <v>21</v>
      </c>
      <c r="H140" s="4">
        <v>15.32</v>
      </c>
      <c r="I140" s="4">
        <v>5.45</v>
      </c>
      <c r="J140" s="5">
        <v>160733</v>
      </c>
      <c r="K140" s="5">
        <v>130478</v>
      </c>
      <c r="L140" s="5">
        <v>83697</v>
      </c>
      <c r="M140" s="3" t="s">
        <v>38</v>
      </c>
      <c r="N140" s="10">
        <v>9662</v>
      </c>
      <c r="O140" s="12">
        <f>(Fact_Table[[#This Row],[Petrol_Output_BPD]]+Fact_Table[[#This Row],[Diesel_Output_BPD]]+Fact_Table[[#This Row],[Gas_Output_BPD]])/Fact_Table[[#This Row],[No_of_Employees]]</f>
        <v>448.45454545454544</v>
      </c>
      <c r="P140" s="2" t="str">
        <f>IF(Fact_Table[[#This Row],[0/P Producyivity/Day]]&gt;=1000,"High",IF(Fact_Table[[#This Row],[0/P Producyivity/Day]]&gt;=500,"Medium","Low"))</f>
        <v>Low</v>
      </c>
      <c r="Q140" s="10">
        <f>Fact_Table[[#This Row],[Capacity_BPD]]/Fact_Table[[#This Row],[Average_Salary_AED]]</f>
        <v>38.80252535706893</v>
      </c>
      <c r="R140" s="15">
        <f>(Fact_Table[[#This Row],[Petrol_Output_BPD]]/Fact_Table[[#This Row],[Capacity_BPD]])</f>
        <v>0.4287242271478488</v>
      </c>
      <c r="S140" s="15">
        <f>Fact_Table[[#This Row],[Diesel_Output_BPD]]/Fact_Table[[#This Row],[Capacity_BPD]]</f>
        <v>0.34802485929956523</v>
      </c>
      <c r="T140" s="15">
        <f>Fact_Table[[#This Row],[Gas_Output_BPD]]/Fact_Table[[#This Row],[Capacity_BPD]]</f>
        <v>0.22324557893894534</v>
      </c>
      <c r="U140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40" s="8">
        <f ca="1">YEAR(TODAY())-Fact_Table[[#This Row],[Commissioned_Year]]</f>
        <v>39</v>
      </c>
      <c r="W140" s="40" cm="1">
        <f t="array" ref="W140">_xlfn.XLOOKUP(Fact_Table[[#This Row],[Commissioned_Year]],cost_table[[#All],[Year]],cost_table[[#All],[Average_Crude_Price_USD_per_Barrel]],"0")</f>
        <v>14.4</v>
      </c>
      <c r="X140" s="40">
        <f>Fact_Table[[#This Row],[Capacity_BPD]]*Fact_Table[[#This Row],[cost per barrel]]</f>
        <v>5398704</v>
      </c>
    </row>
    <row r="141" spans="1:24" x14ac:dyDescent="0.35">
      <c r="A141" t="s">
        <v>45</v>
      </c>
      <c r="B141" t="s">
        <v>25</v>
      </c>
      <c r="C141" t="s">
        <v>46</v>
      </c>
      <c r="D141" s="5">
        <v>145648</v>
      </c>
      <c r="E141" s="5">
        <v>1983</v>
      </c>
      <c r="F141" s="5">
        <v>2046</v>
      </c>
      <c r="G141" s="3" t="s">
        <v>31</v>
      </c>
      <c r="H141" s="4">
        <v>15.08</v>
      </c>
      <c r="I141" s="4">
        <v>9.23</v>
      </c>
      <c r="J141" s="5">
        <v>47145</v>
      </c>
      <c r="K141" s="5">
        <v>72723</v>
      </c>
      <c r="L141" s="5">
        <v>25778</v>
      </c>
      <c r="M141" s="3" t="s">
        <v>29</v>
      </c>
      <c r="N141" s="10">
        <v>10613</v>
      </c>
      <c r="O141" s="12">
        <f>(Fact_Table[[#This Row],[Petrol_Output_BPD]]+Fact_Table[[#This Row],[Diesel_Output_BPD]]+Fact_Table[[#This Row],[Gas_Output_BPD]])/Fact_Table[[#This Row],[No_of_Employees]]</f>
        <v>71.185728250244381</v>
      </c>
      <c r="P141" s="2" t="str">
        <f>IF(Fact_Table[[#This Row],[0/P Producyivity/Day]]&gt;=1000,"High",IF(Fact_Table[[#This Row],[0/P Producyivity/Day]]&gt;=500,"Medium","Low"))</f>
        <v>Low</v>
      </c>
      <c r="Q141" s="10">
        <f>Fact_Table[[#This Row],[Capacity_BPD]]/Fact_Table[[#This Row],[Average_Salary_AED]]</f>
        <v>13.723546593800057</v>
      </c>
      <c r="R141" s="15">
        <f>(Fact_Table[[#This Row],[Petrol_Output_BPD]]/Fact_Table[[#This Row],[Capacity_BPD]])</f>
        <v>0.32369136548390642</v>
      </c>
      <c r="S141" s="15">
        <f>Fact_Table[[#This Row],[Diesel_Output_BPD]]/Fact_Table[[#This Row],[Capacity_BPD]]</f>
        <v>0.4993065472921015</v>
      </c>
      <c r="T141" s="15">
        <f>Fact_Table[[#This Row],[Gas_Output_BPD]]/Fact_Table[[#This Row],[Capacity_BPD]]</f>
        <v>0.17698835548720201</v>
      </c>
      <c r="U141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41" s="8">
        <f ca="1">YEAR(TODAY())-Fact_Table[[#This Row],[Commissioned_Year]]</f>
        <v>42</v>
      </c>
      <c r="W141" s="40" cm="1">
        <f t="array" ref="W141">_xlfn.XLOOKUP(Fact_Table[[#This Row],[Commissioned_Year]],cost_table[[#All],[Year]],cost_table[[#All],[Average_Crude_Price_USD_per_Barrel]],"0")</f>
        <v>29</v>
      </c>
      <c r="X141" s="40">
        <f>Fact_Table[[#This Row],[Capacity_BPD]]*Fact_Table[[#This Row],[cost per barrel]]</f>
        <v>4223792</v>
      </c>
    </row>
    <row r="142" spans="1:24" x14ac:dyDescent="0.35">
      <c r="A142" t="s">
        <v>27</v>
      </c>
      <c r="B142" t="s">
        <v>26</v>
      </c>
      <c r="C142" t="s">
        <v>20</v>
      </c>
      <c r="D142" s="5">
        <v>248445</v>
      </c>
      <c r="E142" s="5">
        <v>1992</v>
      </c>
      <c r="F142" s="5">
        <v>346</v>
      </c>
      <c r="G142" s="3" t="s">
        <v>28</v>
      </c>
      <c r="H142" s="4">
        <v>23.95</v>
      </c>
      <c r="I142" s="4">
        <v>7.67</v>
      </c>
      <c r="J142" s="5">
        <v>93123</v>
      </c>
      <c r="K142" s="5">
        <v>103620</v>
      </c>
      <c r="L142" s="5">
        <v>51701</v>
      </c>
      <c r="M142" s="3" t="s">
        <v>29</v>
      </c>
      <c r="N142" s="10">
        <v>19234</v>
      </c>
      <c r="O142" s="12">
        <f>(Fact_Table[[#This Row],[Petrol_Output_BPD]]+Fact_Table[[#This Row],[Diesel_Output_BPD]]+Fact_Table[[#This Row],[Gas_Output_BPD]])/Fact_Table[[#This Row],[No_of_Employees]]</f>
        <v>718.04624277456651</v>
      </c>
      <c r="P142" s="2" t="str">
        <f>IF(Fact_Table[[#This Row],[0/P Producyivity/Day]]&gt;=1000,"High",IF(Fact_Table[[#This Row],[0/P Producyivity/Day]]&gt;=500,"Medium","Low"))</f>
        <v>Medium</v>
      </c>
      <c r="Q142" s="10">
        <f>Fact_Table[[#This Row],[Capacity_BPD]]/Fact_Table[[#This Row],[Average_Salary_AED]]</f>
        <v>12.916969949048561</v>
      </c>
      <c r="R142" s="15">
        <f>(Fact_Table[[#This Row],[Petrol_Output_BPD]]/Fact_Table[[#This Row],[Capacity_BPD]])</f>
        <v>0.37482340155768884</v>
      </c>
      <c r="S142" s="15">
        <f>Fact_Table[[#This Row],[Diesel_Output_BPD]]/Fact_Table[[#This Row],[Capacity_BPD]]</f>
        <v>0.41707420153353864</v>
      </c>
      <c r="T142" s="15">
        <f>Fact_Table[[#This Row],[Gas_Output_BPD]]/Fact_Table[[#This Row],[Capacity_BPD]]</f>
        <v>0.20809837187305039</v>
      </c>
      <c r="U14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42" s="8">
        <f ca="1">YEAR(TODAY())-Fact_Table[[#This Row],[Commissioned_Year]]</f>
        <v>33</v>
      </c>
      <c r="W142" s="40" cm="1">
        <f t="array" ref="W142">_xlfn.XLOOKUP(Fact_Table[[#This Row],[Commissioned_Year]],cost_table[[#All],[Year]],cost_table[[#All],[Average_Crude_Price_USD_per_Barrel]],"0")</f>
        <v>14.4</v>
      </c>
      <c r="X142" s="40">
        <f>Fact_Table[[#This Row],[Capacity_BPD]]*Fact_Table[[#This Row],[cost per barrel]]</f>
        <v>3577608</v>
      </c>
    </row>
    <row r="143" spans="1:24" x14ac:dyDescent="0.35">
      <c r="A143" t="s">
        <v>37</v>
      </c>
      <c r="B143" t="s">
        <v>40</v>
      </c>
      <c r="C143" t="s">
        <v>33</v>
      </c>
      <c r="D143" s="5">
        <v>795289</v>
      </c>
      <c r="E143" s="5">
        <v>2018</v>
      </c>
      <c r="F143" s="5">
        <v>2436</v>
      </c>
      <c r="G143" s="3" t="s">
        <v>21</v>
      </c>
      <c r="H143" s="4">
        <v>3.91</v>
      </c>
      <c r="I143" s="4">
        <v>5.84</v>
      </c>
      <c r="J143" s="5">
        <v>321617</v>
      </c>
      <c r="K143" s="5">
        <v>345916</v>
      </c>
      <c r="L143" s="5">
        <v>127755</v>
      </c>
      <c r="M143" s="3" t="s">
        <v>23</v>
      </c>
      <c r="N143" s="10">
        <v>22675</v>
      </c>
      <c r="O143" s="12">
        <f>(Fact_Table[[#This Row],[Petrol_Output_BPD]]+Fact_Table[[#This Row],[Diesel_Output_BPD]]+Fact_Table[[#This Row],[Gas_Output_BPD]])/Fact_Table[[#This Row],[No_of_Employees]]</f>
        <v>326.4729064039409</v>
      </c>
      <c r="P143" s="2" t="str">
        <f>IF(Fact_Table[[#This Row],[0/P Producyivity/Day]]&gt;=1000,"High",IF(Fact_Table[[#This Row],[0/P Producyivity/Day]]&gt;=500,"Medium","Low"))</f>
        <v>Low</v>
      </c>
      <c r="Q143" s="10">
        <f>Fact_Table[[#This Row],[Capacity_BPD]]/Fact_Table[[#This Row],[Average_Salary_AED]]</f>
        <v>35.073384785005516</v>
      </c>
      <c r="R143" s="15">
        <f>(Fact_Table[[#This Row],[Petrol_Output_BPD]]/Fact_Table[[#This Row],[Capacity_BPD]])</f>
        <v>0.40440267625982507</v>
      </c>
      <c r="S143" s="15">
        <f>Fact_Table[[#This Row],[Diesel_Output_BPD]]/Fact_Table[[#This Row],[Capacity_BPD]]</f>
        <v>0.4349563492013595</v>
      </c>
      <c r="T143" s="15">
        <f>Fact_Table[[#This Row],[Gas_Output_BPD]]/Fact_Table[[#This Row],[Capacity_BPD]]</f>
        <v>0.16063971713427447</v>
      </c>
      <c r="U143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43" s="8">
        <f ca="1">YEAR(TODAY())-Fact_Table[[#This Row],[Commissioned_Year]]</f>
        <v>7</v>
      </c>
      <c r="W143" s="40" cm="1">
        <f t="array" ref="W143">_xlfn.XLOOKUP(Fact_Table[[#This Row],[Commissioned_Year]],cost_table[[#All],[Year]],cost_table[[#All],[Average_Crude_Price_USD_per_Barrel]],"0")</f>
        <v>100.2</v>
      </c>
      <c r="X143" s="40">
        <f>Fact_Table[[#This Row],[Capacity_BPD]]*Fact_Table[[#This Row],[cost per barrel]]</f>
        <v>79687957.799999997</v>
      </c>
    </row>
    <row r="144" spans="1:24" x14ac:dyDescent="0.35">
      <c r="A144" t="s">
        <v>27</v>
      </c>
      <c r="B144" t="s">
        <v>40</v>
      </c>
      <c r="C144" t="s">
        <v>46</v>
      </c>
      <c r="D144" s="5">
        <v>475377</v>
      </c>
      <c r="E144" s="5">
        <v>1977</v>
      </c>
      <c r="F144" s="5">
        <v>2435</v>
      </c>
      <c r="G144" s="3" t="s">
        <v>28</v>
      </c>
      <c r="H144" s="4">
        <v>17.2</v>
      </c>
      <c r="I144" s="4">
        <v>8.9499999999999993</v>
      </c>
      <c r="J144" s="5">
        <v>193201</v>
      </c>
      <c r="K144" s="5">
        <v>207506</v>
      </c>
      <c r="L144" s="5">
        <v>74669</v>
      </c>
      <c r="M144" s="3" t="s">
        <v>34</v>
      </c>
      <c r="N144" s="10">
        <v>22537</v>
      </c>
      <c r="O144" s="12">
        <f>(Fact_Table[[#This Row],[Petrol_Output_BPD]]+Fact_Table[[#This Row],[Diesel_Output_BPD]]+Fact_Table[[#This Row],[Gas_Output_BPD]])/Fact_Table[[#This Row],[No_of_Employees]]</f>
        <v>195.22628336755648</v>
      </c>
      <c r="P144" s="2" t="str">
        <f>IF(Fact_Table[[#This Row],[0/P Producyivity/Day]]&gt;=1000,"High",IF(Fact_Table[[#This Row],[0/P Producyivity/Day]]&gt;=500,"Medium","Low"))</f>
        <v>Low</v>
      </c>
      <c r="Q144" s="10">
        <f>Fact_Table[[#This Row],[Capacity_BPD]]/Fact_Table[[#This Row],[Average_Salary_AED]]</f>
        <v>21.093180103829258</v>
      </c>
      <c r="R144" s="15">
        <f>(Fact_Table[[#This Row],[Petrol_Output_BPD]]/Fact_Table[[#This Row],[Capacity_BPD]])</f>
        <v>0.40641638110383971</v>
      </c>
      <c r="S144" s="15">
        <f>Fact_Table[[#This Row],[Diesel_Output_BPD]]/Fact_Table[[#This Row],[Capacity_BPD]]</f>
        <v>0.43650828710686468</v>
      </c>
      <c r="T144" s="15">
        <f>Fact_Table[[#This Row],[Gas_Output_BPD]]/Fact_Table[[#This Row],[Capacity_BPD]]</f>
        <v>0.15707322819572675</v>
      </c>
      <c r="U144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44" s="8">
        <f ca="1">YEAR(TODAY())-Fact_Table[[#This Row],[Commissioned_Year]]</f>
        <v>48</v>
      </c>
      <c r="W144" s="40" cm="1">
        <f t="array" ref="W144">_xlfn.XLOOKUP(Fact_Table[[#This Row],[Commissioned_Year]],cost_table[[#All],[Year]],cost_table[[#All],[Average_Crude_Price_USD_per_Barrel]],"0")</f>
        <v>12.8</v>
      </c>
      <c r="X144" s="40">
        <f>Fact_Table[[#This Row],[Capacity_BPD]]*Fact_Table[[#This Row],[cost per barrel]]</f>
        <v>6084825.6000000006</v>
      </c>
    </row>
    <row r="145" spans="1:24" x14ac:dyDescent="0.35">
      <c r="A145" t="s">
        <v>36</v>
      </c>
      <c r="B145" t="s">
        <v>32</v>
      </c>
      <c r="C145" t="s">
        <v>39</v>
      </c>
      <c r="D145" s="5">
        <v>188302</v>
      </c>
      <c r="E145" s="5">
        <v>2010</v>
      </c>
      <c r="F145" s="5">
        <v>1367</v>
      </c>
      <c r="G145" s="3" t="s">
        <v>21</v>
      </c>
      <c r="H145" s="4">
        <v>28.89</v>
      </c>
      <c r="I145" s="4">
        <v>6.33</v>
      </c>
      <c r="J145" s="5">
        <v>80453</v>
      </c>
      <c r="K145" s="5">
        <v>72482</v>
      </c>
      <c r="L145" s="5">
        <v>35365</v>
      </c>
      <c r="M145" s="3" t="s">
        <v>38</v>
      </c>
      <c r="N145" s="10">
        <v>13896</v>
      </c>
      <c r="O145" s="12">
        <f>(Fact_Table[[#This Row],[Petrol_Output_BPD]]+Fact_Table[[#This Row],[Diesel_Output_BPD]]+Fact_Table[[#This Row],[Gas_Output_BPD]])/Fact_Table[[#This Row],[No_of_Employees]]</f>
        <v>137.74689100219459</v>
      </c>
      <c r="P145" s="2" t="str">
        <f>IF(Fact_Table[[#This Row],[0/P Producyivity/Day]]&gt;=1000,"High",IF(Fact_Table[[#This Row],[0/P Producyivity/Day]]&gt;=500,"Medium","Low"))</f>
        <v>Low</v>
      </c>
      <c r="Q145" s="10">
        <f>Fact_Table[[#This Row],[Capacity_BPD]]/Fact_Table[[#This Row],[Average_Salary_AED]]</f>
        <v>13.550805987334485</v>
      </c>
      <c r="R145" s="15">
        <f>(Fact_Table[[#This Row],[Petrol_Output_BPD]]/Fact_Table[[#This Row],[Capacity_BPD]])</f>
        <v>0.42725515395481728</v>
      </c>
      <c r="S145" s="15">
        <f>Fact_Table[[#This Row],[Diesel_Output_BPD]]/Fact_Table[[#This Row],[Capacity_BPD]]</f>
        <v>0.38492421748043038</v>
      </c>
      <c r="T145" s="15">
        <f>Fact_Table[[#This Row],[Gas_Output_BPD]]/Fact_Table[[#This Row],[Capacity_BPD]]</f>
        <v>0.18781000732865291</v>
      </c>
      <c r="U145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45" s="8">
        <f ca="1">YEAR(TODAY())-Fact_Table[[#This Row],[Commissioned_Year]]</f>
        <v>15</v>
      </c>
      <c r="W145" s="40" cm="1">
        <f t="array" ref="W145">_xlfn.XLOOKUP(Fact_Table[[#This Row],[Commissioned_Year]],cost_table[[#All],[Year]],cost_table[[#All],[Average_Crude_Price_USD_per_Barrel]],"0")</f>
        <v>56.6</v>
      </c>
      <c r="X145" s="40">
        <f>Fact_Table[[#This Row],[Capacity_BPD]]*Fact_Table[[#This Row],[cost per barrel]]</f>
        <v>10657893.200000001</v>
      </c>
    </row>
    <row r="146" spans="1:24" x14ac:dyDescent="0.35">
      <c r="A146" t="s">
        <v>35</v>
      </c>
      <c r="B146" t="s">
        <v>14</v>
      </c>
      <c r="C146" t="s">
        <v>20</v>
      </c>
      <c r="D146" s="5">
        <v>467048</v>
      </c>
      <c r="E146" s="5">
        <v>2014</v>
      </c>
      <c r="F146" s="5">
        <v>558</v>
      </c>
      <c r="G146" s="3" t="s">
        <v>28</v>
      </c>
      <c r="H146" s="4">
        <v>19.5</v>
      </c>
      <c r="I146" s="4">
        <v>6.63</v>
      </c>
      <c r="J146" s="5">
        <v>144025</v>
      </c>
      <c r="K146" s="5">
        <v>250718</v>
      </c>
      <c r="L146" s="5">
        <v>72304</v>
      </c>
      <c r="M146" s="3" t="s">
        <v>38</v>
      </c>
      <c r="N146" s="10">
        <v>14206</v>
      </c>
      <c r="O146" s="12">
        <f>(Fact_Table[[#This Row],[Petrol_Output_BPD]]+Fact_Table[[#This Row],[Diesel_Output_BPD]]+Fact_Table[[#This Row],[Gas_Output_BPD]])/Fact_Table[[#This Row],[No_of_Employees]]</f>
        <v>837.00179211469538</v>
      </c>
      <c r="P146" s="2" t="str">
        <f>IF(Fact_Table[[#This Row],[0/P Producyivity/Day]]&gt;=1000,"High",IF(Fact_Table[[#This Row],[0/P Producyivity/Day]]&gt;=500,"Medium","Low"))</f>
        <v>Medium</v>
      </c>
      <c r="Q146" s="10">
        <f>Fact_Table[[#This Row],[Capacity_BPD]]/Fact_Table[[#This Row],[Average_Salary_AED]]</f>
        <v>32.876812614388285</v>
      </c>
      <c r="R146" s="15">
        <f>(Fact_Table[[#This Row],[Petrol_Output_BPD]]/Fact_Table[[#This Row],[Capacity_BPD]])</f>
        <v>0.30837301519329918</v>
      </c>
      <c r="S146" s="15">
        <f>Fact_Table[[#This Row],[Diesel_Output_BPD]]/Fact_Table[[#This Row],[Capacity_BPD]]</f>
        <v>0.53681420325105766</v>
      </c>
      <c r="T146" s="15">
        <f>Fact_Table[[#This Row],[Gas_Output_BPD]]/Fact_Table[[#This Row],[Capacity_BPD]]</f>
        <v>0.15481064044809098</v>
      </c>
      <c r="U14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46" s="8">
        <f ca="1">YEAR(TODAY())-Fact_Table[[#This Row],[Commissioned_Year]]</f>
        <v>11</v>
      </c>
      <c r="W146" s="40" cm="1">
        <f t="array" ref="W146">_xlfn.XLOOKUP(Fact_Table[[#This Row],[Commissioned_Year]],cost_table[[#All],[Year]],cost_table[[#All],[Average_Crude_Price_USD_per_Barrel]],"0")</f>
        <v>61.9</v>
      </c>
      <c r="X146" s="40">
        <f>Fact_Table[[#This Row],[Capacity_BPD]]*Fact_Table[[#This Row],[cost per barrel]]</f>
        <v>28910271.199999999</v>
      </c>
    </row>
    <row r="147" spans="1:24" x14ac:dyDescent="0.35">
      <c r="A147" t="s">
        <v>27</v>
      </c>
      <c r="B147" t="s">
        <v>32</v>
      </c>
      <c r="C147" t="s">
        <v>46</v>
      </c>
      <c r="D147" s="5">
        <v>588298</v>
      </c>
      <c r="E147" s="5">
        <v>1983</v>
      </c>
      <c r="F147" s="5">
        <v>611</v>
      </c>
      <c r="G147" s="3" t="s">
        <v>16</v>
      </c>
      <c r="H147" s="4">
        <v>20.92</v>
      </c>
      <c r="I147" s="4">
        <v>7.62</v>
      </c>
      <c r="J147" s="5">
        <v>267794</v>
      </c>
      <c r="K147" s="5">
        <v>203784</v>
      </c>
      <c r="L147" s="5">
        <v>116718</v>
      </c>
      <c r="M147" s="3" t="s">
        <v>17</v>
      </c>
      <c r="N147" s="10">
        <v>14357</v>
      </c>
      <c r="O147" s="12">
        <f>(Fact_Table[[#This Row],[Petrol_Output_BPD]]+Fact_Table[[#This Row],[Diesel_Output_BPD]]+Fact_Table[[#This Row],[Gas_Output_BPD]])/Fact_Table[[#This Row],[No_of_Employees]]</f>
        <v>962.84124386252051</v>
      </c>
      <c r="P147" s="2" t="str">
        <f>IF(Fact_Table[[#This Row],[0/P Producyivity/Day]]&gt;=1000,"High",IF(Fact_Table[[#This Row],[0/P Producyivity/Day]]&gt;=500,"Medium","Low"))</f>
        <v>Medium</v>
      </c>
      <c r="Q147" s="10">
        <f>Fact_Table[[#This Row],[Capacity_BPD]]/Fact_Table[[#This Row],[Average_Salary_AED]]</f>
        <v>40.976387824754475</v>
      </c>
      <c r="R147" s="15">
        <f>(Fact_Table[[#This Row],[Petrol_Output_BPD]]/Fact_Table[[#This Row],[Capacity_BPD]])</f>
        <v>0.45520127554402701</v>
      </c>
      <c r="S147" s="15">
        <f>Fact_Table[[#This Row],[Diesel_Output_BPD]]/Fact_Table[[#This Row],[Capacity_BPD]]</f>
        <v>0.34639587419981033</v>
      </c>
      <c r="T147" s="15">
        <f>Fact_Table[[#This Row],[Gas_Output_BPD]]/Fact_Table[[#This Row],[Capacity_BPD]]</f>
        <v>0.19839945061856407</v>
      </c>
      <c r="U147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47" s="8">
        <f ca="1">YEAR(TODAY())-Fact_Table[[#This Row],[Commissioned_Year]]</f>
        <v>42</v>
      </c>
      <c r="W147" s="40" cm="1">
        <f t="array" ref="W147">_xlfn.XLOOKUP(Fact_Table[[#This Row],[Commissioned_Year]],cost_table[[#All],[Year]],cost_table[[#All],[Average_Crude_Price_USD_per_Barrel]],"0")</f>
        <v>29</v>
      </c>
      <c r="X147" s="40">
        <f>Fact_Table[[#This Row],[Capacity_BPD]]*Fact_Table[[#This Row],[cost per barrel]]</f>
        <v>17060642</v>
      </c>
    </row>
    <row r="148" spans="1:24" x14ac:dyDescent="0.35">
      <c r="A148" t="s">
        <v>36</v>
      </c>
      <c r="B148" t="s">
        <v>25</v>
      </c>
      <c r="C148" t="s">
        <v>48</v>
      </c>
      <c r="D148" s="5">
        <v>324769</v>
      </c>
      <c r="E148" s="5">
        <v>1998</v>
      </c>
      <c r="F148" s="5">
        <v>2386</v>
      </c>
      <c r="G148" s="3" t="s">
        <v>16</v>
      </c>
      <c r="H148" s="4">
        <v>4.88</v>
      </c>
      <c r="I148" s="4">
        <v>5.3</v>
      </c>
      <c r="J148" s="5">
        <v>116492</v>
      </c>
      <c r="K148" s="5">
        <v>139488</v>
      </c>
      <c r="L148" s="5">
        <v>68787</v>
      </c>
      <c r="M148" s="3" t="s">
        <v>29</v>
      </c>
      <c r="N148" s="10">
        <v>18434</v>
      </c>
      <c r="O148" s="12">
        <f>(Fact_Table[[#This Row],[Petrol_Output_BPD]]+Fact_Table[[#This Row],[Diesel_Output_BPD]]+Fact_Table[[#This Row],[Gas_Output_BPD]])/Fact_Table[[#This Row],[No_of_Employees]]</f>
        <v>136.11357921207042</v>
      </c>
      <c r="P148" s="2" t="str">
        <f>IF(Fact_Table[[#This Row],[0/P Producyivity/Day]]&gt;=1000,"High",IF(Fact_Table[[#This Row],[0/P Producyivity/Day]]&gt;=500,"Medium","Low"))</f>
        <v>Low</v>
      </c>
      <c r="Q148" s="10">
        <f>Fact_Table[[#This Row],[Capacity_BPD]]/Fact_Table[[#This Row],[Average_Salary_AED]]</f>
        <v>17.617934251925789</v>
      </c>
      <c r="R148" s="15">
        <f>(Fact_Table[[#This Row],[Petrol_Output_BPD]]/Fact_Table[[#This Row],[Capacity_BPD]])</f>
        <v>0.35869187022160365</v>
      </c>
      <c r="S148" s="15">
        <f>Fact_Table[[#This Row],[Diesel_Output_BPD]]/Fact_Table[[#This Row],[Capacity_BPD]]</f>
        <v>0.42949912091363401</v>
      </c>
      <c r="T148" s="15">
        <f>Fact_Table[[#This Row],[Gas_Output_BPD]]/Fact_Table[[#This Row],[Capacity_BPD]]</f>
        <v>0.2118028506415329</v>
      </c>
      <c r="U14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48" s="8">
        <f ca="1">YEAR(TODAY())-Fact_Table[[#This Row],[Commissioned_Year]]</f>
        <v>27</v>
      </c>
      <c r="W148" s="40" cm="1">
        <f t="array" ref="W148">_xlfn.XLOOKUP(Fact_Table[[#This Row],[Commissioned_Year]],cost_table[[#All],[Year]],cost_table[[#All],[Average_Crude_Price_USD_per_Barrel]],"0")</f>
        <v>12.8</v>
      </c>
      <c r="X148" s="40">
        <f>Fact_Table[[#This Row],[Capacity_BPD]]*Fact_Table[[#This Row],[cost per barrel]]</f>
        <v>4157043.2</v>
      </c>
    </row>
    <row r="149" spans="1:24" x14ac:dyDescent="0.35">
      <c r="A149" t="s">
        <v>22</v>
      </c>
      <c r="B149" t="s">
        <v>19</v>
      </c>
      <c r="C149" t="s">
        <v>49</v>
      </c>
      <c r="D149" s="5">
        <v>614828</v>
      </c>
      <c r="E149" s="5">
        <v>2021</v>
      </c>
      <c r="F149" s="5">
        <v>335</v>
      </c>
      <c r="G149" s="3" t="s">
        <v>28</v>
      </c>
      <c r="H149" s="4">
        <v>25.92</v>
      </c>
      <c r="I149" s="4">
        <v>9.67</v>
      </c>
      <c r="J149" s="5">
        <v>189718</v>
      </c>
      <c r="K149" s="5">
        <v>306500</v>
      </c>
      <c r="L149" s="5">
        <v>118608</v>
      </c>
      <c r="M149" s="3" t="s">
        <v>29</v>
      </c>
      <c r="N149" s="10">
        <v>23400</v>
      </c>
      <c r="O149" s="12">
        <f>(Fact_Table[[#This Row],[Petrol_Output_BPD]]+Fact_Table[[#This Row],[Diesel_Output_BPD]]+Fact_Table[[#This Row],[Gas_Output_BPD]])/Fact_Table[[#This Row],[No_of_Employees]]</f>
        <v>1835.3014925373134</v>
      </c>
      <c r="P149" s="2" t="str">
        <f>IF(Fact_Table[[#This Row],[0/P Producyivity/Day]]&gt;=1000,"High",IF(Fact_Table[[#This Row],[0/P Producyivity/Day]]&gt;=500,"Medium","Low"))</f>
        <v>High</v>
      </c>
      <c r="Q149" s="10">
        <f>Fact_Table[[#This Row],[Capacity_BPD]]/Fact_Table[[#This Row],[Average_Salary_AED]]</f>
        <v>26.274700854700853</v>
      </c>
      <c r="R149" s="15">
        <f>(Fact_Table[[#This Row],[Petrol_Output_BPD]]/Fact_Table[[#This Row],[Capacity_BPD]])</f>
        <v>0.30857085233593784</v>
      </c>
      <c r="S149" s="15">
        <f>Fact_Table[[#This Row],[Diesel_Output_BPD]]/Fact_Table[[#This Row],[Capacity_BPD]]</f>
        <v>0.49851340537516181</v>
      </c>
      <c r="T149" s="15">
        <f>Fact_Table[[#This Row],[Gas_Output_BPD]]/Fact_Table[[#This Row],[Capacity_BPD]]</f>
        <v>0.19291248934661401</v>
      </c>
      <c r="U149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49" s="8">
        <f ca="1">YEAR(TODAY())-Fact_Table[[#This Row],[Commissioned_Year]]</f>
        <v>4</v>
      </c>
      <c r="W149" s="40" cm="1">
        <f t="array" ref="W149">_xlfn.XLOOKUP(Fact_Table[[#This Row],[Commissioned_Year]],cost_table[[#All],[Year]],cost_table[[#All],[Average_Crude_Price_USD_per_Barrel]],"0")</f>
        <v>54.2</v>
      </c>
      <c r="X149" s="40">
        <f>Fact_Table[[#This Row],[Capacity_BPD]]*Fact_Table[[#This Row],[cost per barrel]]</f>
        <v>33323677.600000001</v>
      </c>
    </row>
    <row r="150" spans="1:24" x14ac:dyDescent="0.35">
      <c r="A150" t="s">
        <v>35</v>
      </c>
      <c r="B150" t="s">
        <v>41</v>
      </c>
      <c r="C150" t="s">
        <v>49</v>
      </c>
      <c r="D150" s="5">
        <v>734932</v>
      </c>
      <c r="E150" s="5">
        <v>1981</v>
      </c>
      <c r="F150" s="5">
        <v>600</v>
      </c>
      <c r="G150" s="3" t="s">
        <v>28</v>
      </c>
      <c r="H150" s="4">
        <v>14.36</v>
      </c>
      <c r="I150" s="4">
        <v>5.7</v>
      </c>
      <c r="J150" s="5">
        <v>258501</v>
      </c>
      <c r="K150" s="5">
        <v>332817</v>
      </c>
      <c r="L150" s="5">
        <v>143612</v>
      </c>
      <c r="M150" s="3" t="s">
        <v>29</v>
      </c>
      <c r="N150" s="10">
        <v>10694</v>
      </c>
      <c r="O150" s="12">
        <f>(Fact_Table[[#This Row],[Petrol_Output_BPD]]+Fact_Table[[#This Row],[Diesel_Output_BPD]]+Fact_Table[[#This Row],[Gas_Output_BPD]])/Fact_Table[[#This Row],[No_of_Employees]]</f>
        <v>1224.8833333333334</v>
      </c>
      <c r="P150" s="2" t="str">
        <f>IF(Fact_Table[[#This Row],[0/P Producyivity/Day]]&gt;=1000,"High",IF(Fact_Table[[#This Row],[0/P Producyivity/Day]]&gt;=500,"Medium","Low"))</f>
        <v>High</v>
      </c>
      <c r="Q150" s="10">
        <f>Fact_Table[[#This Row],[Capacity_BPD]]/Fact_Table[[#This Row],[Average_Salary_AED]]</f>
        <v>68.723770338507578</v>
      </c>
      <c r="R150" s="15">
        <f>(Fact_Table[[#This Row],[Petrol_Output_BPD]]/Fact_Table[[#This Row],[Capacity_BPD]])</f>
        <v>0.35173458224706505</v>
      </c>
      <c r="S150" s="15">
        <f>Fact_Table[[#This Row],[Diesel_Output_BPD]]/Fact_Table[[#This Row],[Capacity_BPD]]</f>
        <v>0.45285414160765897</v>
      </c>
      <c r="T150" s="15">
        <f>Fact_Table[[#This Row],[Gas_Output_BPD]]/Fact_Table[[#This Row],[Capacity_BPD]]</f>
        <v>0.19540855480507041</v>
      </c>
      <c r="U150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50" s="8">
        <f ca="1">YEAR(TODAY())-Fact_Table[[#This Row],[Commissioned_Year]]</f>
        <v>44</v>
      </c>
      <c r="W150" s="40" cm="1">
        <f t="array" ref="W150">_xlfn.XLOOKUP(Fact_Table[[#This Row],[Commissioned_Year]],cost_table[[#All],[Year]],cost_table[[#All],[Average_Crude_Price_USD_per_Barrel]],"0")</f>
        <v>35.700000000000003</v>
      </c>
      <c r="X150" s="40">
        <f>Fact_Table[[#This Row],[Capacity_BPD]]*Fact_Table[[#This Row],[cost per barrel]]</f>
        <v>26237072.400000002</v>
      </c>
    </row>
    <row r="151" spans="1:24" x14ac:dyDescent="0.35">
      <c r="A151" t="s">
        <v>22</v>
      </c>
      <c r="B151" t="s">
        <v>40</v>
      </c>
      <c r="C151" t="s">
        <v>47</v>
      </c>
      <c r="D151" s="5">
        <v>117950</v>
      </c>
      <c r="E151" s="5">
        <v>1979</v>
      </c>
      <c r="F151" s="5">
        <v>1650</v>
      </c>
      <c r="G151" s="3" t="s">
        <v>28</v>
      </c>
      <c r="H151" s="4">
        <v>15.62</v>
      </c>
      <c r="I151" s="4">
        <v>8.26</v>
      </c>
      <c r="J151" s="5">
        <v>59117</v>
      </c>
      <c r="K151" s="5">
        <v>43344</v>
      </c>
      <c r="L151" s="5">
        <v>15488</v>
      </c>
      <c r="M151" s="3" t="s">
        <v>38</v>
      </c>
      <c r="N151" s="10">
        <v>13907</v>
      </c>
      <c r="O151" s="12">
        <f>(Fact_Table[[#This Row],[Petrol_Output_BPD]]+Fact_Table[[#This Row],[Diesel_Output_BPD]]+Fact_Table[[#This Row],[Gas_Output_BPD]])/Fact_Table[[#This Row],[No_of_Employees]]</f>
        <v>71.484242424242424</v>
      </c>
      <c r="P151" s="2" t="str">
        <f>IF(Fact_Table[[#This Row],[0/P Producyivity/Day]]&gt;=1000,"High",IF(Fact_Table[[#This Row],[0/P Producyivity/Day]]&gt;=500,"Medium","Low"))</f>
        <v>Low</v>
      </c>
      <c r="Q151" s="10">
        <f>Fact_Table[[#This Row],[Capacity_BPD]]/Fact_Table[[#This Row],[Average_Salary_AED]]</f>
        <v>8.4813403322068019</v>
      </c>
      <c r="R151" s="15">
        <f>(Fact_Table[[#This Row],[Petrol_Output_BPD]]/Fact_Table[[#This Row],[Capacity_BPD]])</f>
        <v>0.50120389995760917</v>
      </c>
      <c r="S151" s="15">
        <f>Fact_Table[[#This Row],[Diesel_Output_BPD]]/Fact_Table[[#This Row],[Capacity_BPD]]</f>
        <v>0.36747774480712164</v>
      </c>
      <c r="T151" s="15">
        <f>Fact_Table[[#This Row],[Gas_Output_BPD]]/Fact_Table[[#This Row],[Capacity_BPD]]</f>
        <v>0.13130987706655362</v>
      </c>
      <c r="U151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51" s="8">
        <f ca="1">YEAR(TODAY())-Fact_Table[[#This Row],[Commissioned_Year]]</f>
        <v>46</v>
      </c>
      <c r="W151" s="40" cm="1">
        <f t="array" ref="W151">_xlfn.XLOOKUP(Fact_Table[[#This Row],[Commissioned_Year]],cost_table[[#All],[Year]],cost_table[[#All],[Average_Crude_Price_USD_per_Barrel]],"0")</f>
        <v>31.6</v>
      </c>
      <c r="X151" s="40">
        <f>Fact_Table[[#This Row],[Capacity_BPD]]*Fact_Table[[#This Row],[cost per barrel]]</f>
        <v>3727220</v>
      </c>
    </row>
    <row r="152" spans="1:24" x14ac:dyDescent="0.35">
      <c r="A152" t="s">
        <v>22</v>
      </c>
      <c r="B152" t="s">
        <v>19</v>
      </c>
      <c r="C152" t="s">
        <v>20</v>
      </c>
      <c r="D152" s="5">
        <v>360920</v>
      </c>
      <c r="E152" s="5">
        <v>2009</v>
      </c>
      <c r="F152" s="5">
        <v>2275</v>
      </c>
      <c r="G152" s="3" t="s">
        <v>31</v>
      </c>
      <c r="H152" s="4">
        <v>27.18</v>
      </c>
      <c r="I152" s="4">
        <v>7.39</v>
      </c>
      <c r="J152" s="5">
        <v>154144</v>
      </c>
      <c r="K152" s="5">
        <v>127710</v>
      </c>
      <c r="L152" s="5">
        <v>79064</v>
      </c>
      <c r="M152" s="3" t="s">
        <v>23</v>
      </c>
      <c r="N152" s="10">
        <v>16093</v>
      </c>
      <c r="O152" s="12">
        <f>(Fact_Table[[#This Row],[Petrol_Output_BPD]]+Fact_Table[[#This Row],[Diesel_Output_BPD]]+Fact_Table[[#This Row],[Gas_Output_BPD]])/Fact_Table[[#This Row],[No_of_Employees]]</f>
        <v>158.64527472527473</v>
      </c>
      <c r="P152" s="2" t="str">
        <f>IF(Fact_Table[[#This Row],[0/P Producyivity/Day]]&gt;=1000,"High",IF(Fact_Table[[#This Row],[0/P Producyivity/Day]]&gt;=500,"Medium","Low"))</f>
        <v>Low</v>
      </c>
      <c r="Q152" s="10">
        <f>Fact_Table[[#This Row],[Capacity_BPD]]/Fact_Table[[#This Row],[Average_Salary_AED]]</f>
        <v>22.427142235754676</v>
      </c>
      <c r="R152" s="15">
        <f>(Fact_Table[[#This Row],[Petrol_Output_BPD]]/Fact_Table[[#This Row],[Capacity_BPD]])</f>
        <v>0.42708633492186632</v>
      </c>
      <c r="S152" s="15">
        <f>Fact_Table[[#This Row],[Diesel_Output_BPD]]/Fact_Table[[#This Row],[Capacity_BPD]]</f>
        <v>0.35384572758506039</v>
      </c>
      <c r="T152" s="15">
        <f>Fact_Table[[#This Row],[Gas_Output_BPD]]/Fact_Table[[#This Row],[Capacity_BPD]]</f>
        <v>0.21906239609885847</v>
      </c>
      <c r="U15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52" s="8">
        <f ca="1">YEAR(TODAY())-Fact_Table[[#This Row],[Commissioned_Year]]</f>
        <v>16</v>
      </c>
      <c r="W152" s="40" cm="1">
        <f t="array" ref="W152">_xlfn.XLOOKUP(Fact_Table[[#This Row],[Commissioned_Year]],cost_table[[#All],[Year]],cost_table[[#All],[Average_Crude_Price_USD_per_Barrel]],"0")</f>
        <v>41.4</v>
      </c>
      <c r="X152" s="40">
        <f>Fact_Table[[#This Row],[Capacity_BPD]]*Fact_Table[[#This Row],[cost per barrel]]</f>
        <v>14942088</v>
      </c>
    </row>
    <row r="153" spans="1:24" x14ac:dyDescent="0.35">
      <c r="A153" t="s">
        <v>45</v>
      </c>
      <c r="B153" t="s">
        <v>19</v>
      </c>
      <c r="C153" t="s">
        <v>50</v>
      </c>
      <c r="D153" s="5">
        <v>520878</v>
      </c>
      <c r="E153" s="5">
        <v>2008</v>
      </c>
      <c r="F153" s="5">
        <v>2104</v>
      </c>
      <c r="G153" s="3" t="s">
        <v>16</v>
      </c>
      <c r="H153" s="4">
        <v>7.24</v>
      </c>
      <c r="I153" s="4">
        <v>6.97</v>
      </c>
      <c r="J153" s="5">
        <v>208977</v>
      </c>
      <c r="K153" s="5">
        <v>223432</v>
      </c>
      <c r="L153" s="5">
        <v>88467</v>
      </c>
      <c r="M153" s="3" t="s">
        <v>34</v>
      </c>
      <c r="N153" s="10">
        <v>24738</v>
      </c>
      <c r="O153" s="12">
        <f>(Fact_Table[[#This Row],[Petrol_Output_BPD]]+Fact_Table[[#This Row],[Diesel_Output_BPD]]+Fact_Table[[#This Row],[Gas_Output_BPD]])/Fact_Table[[#This Row],[No_of_Employees]]</f>
        <v>247.56463878326997</v>
      </c>
      <c r="P153" s="2" t="str">
        <f>IF(Fact_Table[[#This Row],[0/P Producyivity/Day]]&gt;=1000,"High",IF(Fact_Table[[#This Row],[0/P Producyivity/Day]]&gt;=500,"Medium","Low"))</f>
        <v>Low</v>
      </c>
      <c r="Q153" s="10">
        <f>Fact_Table[[#This Row],[Capacity_BPD]]/Fact_Table[[#This Row],[Average_Salary_AED]]</f>
        <v>21.05578462284744</v>
      </c>
      <c r="R153" s="15">
        <f>(Fact_Table[[#This Row],[Petrol_Output_BPD]]/Fact_Table[[#This Row],[Capacity_BPD]])</f>
        <v>0.40120143296510891</v>
      </c>
      <c r="S153" s="15">
        <f>Fact_Table[[#This Row],[Diesel_Output_BPD]]/Fact_Table[[#This Row],[Capacity_BPD]]</f>
        <v>0.42895265302047697</v>
      </c>
      <c r="T153" s="15">
        <f>Fact_Table[[#This Row],[Gas_Output_BPD]]/Fact_Table[[#This Row],[Capacity_BPD]]</f>
        <v>0.1698420743437043</v>
      </c>
      <c r="U153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53" s="8">
        <f ca="1">YEAR(TODAY())-Fact_Table[[#This Row],[Commissioned_Year]]</f>
        <v>17</v>
      </c>
      <c r="W153" s="40" cm="1">
        <f t="array" ref="W153">_xlfn.XLOOKUP(Fact_Table[[#This Row],[Commissioned_Year]],cost_table[[#All],[Year]],cost_table[[#All],[Average_Crude_Price_USD_per_Barrel]],"0")</f>
        <v>31</v>
      </c>
      <c r="X153" s="40">
        <f>Fact_Table[[#This Row],[Capacity_BPD]]*Fact_Table[[#This Row],[cost per barrel]]</f>
        <v>16147218</v>
      </c>
    </row>
    <row r="154" spans="1:24" x14ac:dyDescent="0.35">
      <c r="A154" t="s">
        <v>36</v>
      </c>
      <c r="B154" t="s">
        <v>32</v>
      </c>
      <c r="C154" t="s">
        <v>51</v>
      </c>
      <c r="D154" s="5">
        <v>256601</v>
      </c>
      <c r="E154" s="5">
        <v>1987</v>
      </c>
      <c r="F154" s="5">
        <v>717</v>
      </c>
      <c r="G154" s="3" t="s">
        <v>28</v>
      </c>
      <c r="H154" s="4">
        <v>4.74</v>
      </c>
      <c r="I154" s="4">
        <v>5.58</v>
      </c>
      <c r="J154" s="5">
        <v>114266</v>
      </c>
      <c r="K154" s="5">
        <v>108683</v>
      </c>
      <c r="L154" s="5">
        <v>33650</v>
      </c>
      <c r="M154" s="3" t="s">
        <v>17</v>
      </c>
      <c r="N154" s="10">
        <v>20963</v>
      </c>
      <c r="O154" s="12">
        <f>(Fact_Table[[#This Row],[Petrol_Output_BPD]]+Fact_Table[[#This Row],[Diesel_Output_BPD]]+Fact_Table[[#This Row],[Gas_Output_BPD]])/Fact_Table[[#This Row],[No_of_Employees]]</f>
        <v>357.87866108786613</v>
      </c>
      <c r="P154" s="2" t="str">
        <f>IF(Fact_Table[[#This Row],[0/P Producyivity/Day]]&gt;=1000,"High",IF(Fact_Table[[#This Row],[0/P Producyivity/Day]]&gt;=500,"Medium","Low"))</f>
        <v>Low</v>
      </c>
      <c r="Q154" s="10">
        <f>Fact_Table[[#This Row],[Capacity_BPD]]/Fact_Table[[#This Row],[Average_Salary_AED]]</f>
        <v>12.240662118971521</v>
      </c>
      <c r="R154" s="15">
        <f>(Fact_Table[[#This Row],[Petrol_Output_BPD]]/Fact_Table[[#This Row],[Capacity_BPD]])</f>
        <v>0.44530613676486064</v>
      </c>
      <c r="S154" s="15">
        <f>Fact_Table[[#This Row],[Diesel_Output_BPD]]/Fact_Table[[#This Row],[Capacity_BPD]]</f>
        <v>0.42354862217996031</v>
      </c>
      <c r="T154" s="15">
        <f>Fact_Table[[#This Row],[Gas_Output_BPD]]/Fact_Table[[#This Row],[Capacity_BPD]]</f>
        <v>0.13113744685328585</v>
      </c>
      <c r="U154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54" s="8">
        <f ca="1">YEAR(TODAY())-Fact_Table[[#This Row],[Commissioned_Year]]</f>
        <v>38</v>
      </c>
      <c r="W154" s="40" cm="1">
        <f t="array" ref="W154">_xlfn.XLOOKUP(Fact_Table[[#This Row],[Commissioned_Year]],cost_table[[#All],[Year]],cost_table[[#All],[Average_Crude_Price_USD_per_Barrel]],"0")</f>
        <v>18.399999999999999</v>
      </c>
      <c r="X154" s="40">
        <f>Fact_Table[[#This Row],[Capacity_BPD]]*Fact_Table[[#This Row],[cost per barrel]]</f>
        <v>4721458.3999999994</v>
      </c>
    </row>
    <row r="155" spans="1:24" x14ac:dyDescent="0.35">
      <c r="A155" t="s">
        <v>27</v>
      </c>
      <c r="B155" t="s">
        <v>25</v>
      </c>
      <c r="C155" t="s">
        <v>33</v>
      </c>
      <c r="D155" s="5">
        <v>500411</v>
      </c>
      <c r="E155" s="5">
        <v>1994</v>
      </c>
      <c r="F155" s="5">
        <v>936</v>
      </c>
      <c r="G155" s="3" t="s">
        <v>28</v>
      </c>
      <c r="H155" s="4">
        <v>3.16</v>
      </c>
      <c r="I155" s="4">
        <v>7.43</v>
      </c>
      <c r="J155" s="5">
        <v>162596</v>
      </c>
      <c r="K155" s="5">
        <v>229873</v>
      </c>
      <c r="L155" s="5">
        <v>107940</v>
      </c>
      <c r="M155" s="3" t="s">
        <v>34</v>
      </c>
      <c r="N155" s="10">
        <v>23449</v>
      </c>
      <c r="O155" s="12">
        <f>(Fact_Table[[#This Row],[Petrol_Output_BPD]]+Fact_Table[[#This Row],[Diesel_Output_BPD]]+Fact_Table[[#This Row],[Gas_Output_BPD]])/Fact_Table[[#This Row],[No_of_Employees]]</f>
        <v>534.625</v>
      </c>
      <c r="P155" s="2" t="str">
        <f>IF(Fact_Table[[#This Row],[0/P Producyivity/Day]]&gt;=1000,"High",IF(Fact_Table[[#This Row],[0/P Producyivity/Day]]&gt;=500,"Medium","Low"))</f>
        <v>Medium</v>
      </c>
      <c r="Q155" s="10">
        <f>Fact_Table[[#This Row],[Capacity_BPD]]/Fact_Table[[#This Row],[Average_Salary_AED]]</f>
        <v>21.340398311228626</v>
      </c>
      <c r="R155" s="15">
        <f>(Fact_Table[[#This Row],[Petrol_Output_BPD]]/Fact_Table[[#This Row],[Capacity_BPD]])</f>
        <v>0.32492491172256405</v>
      </c>
      <c r="S155" s="15">
        <f>Fact_Table[[#This Row],[Diesel_Output_BPD]]/Fact_Table[[#This Row],[Capacity_BPD]]</f>
        <v>0.45936839917587741</v>
      </c>
      <c r="T155" s="15">
        <f>Fact_Table[[#This Row],[Gas_Output_BPD]]/Fact_Table[[#This Row],[Capacity_BPD]]</f>
        <v>0.21570269238685799</v>
      </c>
      <c r="U155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55" s="8">
        <f ca="1">YEAR(TODAY())-Fact_Table[[#This Row],[Commissioned_Year]]</f>
        <v>31</v>
      </c>
      <c r="W155" s="40" cm="1">
        <f t="array" ref="W155">_xlfn.XLOOKUP(Fact_Table[[#This Row],[Commissioned_Year]],cost_table[[#All],[Year]],cost_table[[#All],[Average_Crude_Price_USD_per_Barrel]],"0")</f>
        <v>15.9</v>
      </c>
      <c r="X155" s="40">
        <f>Fact_Table[[#This Row],[Capacity_BPD]]*Fact_Table[[#This Row],[cost per barrel]]</f>
        <v>7956534.9000000004</v>
      </c>
    </row>
    <row r="156" spans="1:24" x14ac:dyDescent="0.35">
      <c r="A156" t="s">
        <v>27</v>
      </c>
      <c r="B156" t="s">
        <v>25</v>
      </c>
      <c r="C156" t="s">
        <v>49</v>
      </c>
      <c r="D156" s="5">
        <v>635856</v>
      </c>
      <c r="E156" s="5">
        <v>1977</v>
      </c>
      <c r="F156" s="5">
        <v>1625</v>
      </c>
      <c r="G156" s="3" t="s">
        <v>28</v>
      </c>
      <c r="H156" s="4">
        <v>19.77</v>
      </c>
      <c r="I156" s="4">
        <v>8.64</v>
      </c>
      <c r="J156" s="5">
        <v>270102</v>
      </c>
      <c r="K156" s="5">
        <v>239084</v>
      </c>
      <c r="L156" s="5">
        <v>126669</v>
      </c>
      <c r="M156" s="3" t="s">
        <v>23</v>
      </c>
      <c r="N156" s="10">
        <v>10917</v>
      </c>
      <c r="O156" s="12">
        <f>(Fact_Table[[#This Row],[Petrol_Output_BPD]]+Fact_Table[[#This Row],[Diesel_Output_BPD]]+Fact_Table[[#This Row],[Gas_Output_BPD]])/Fact_Table[[#This Row],[No_of_Employees]]</f>
        <v>391.29538461538459</v>
      </c>
      <c r="P156" s="2" t="str">
        <f>IF(Fact_Table[[#This Row],[0/P Producyivity/Day]]&gt;=1000,"High",IF(Fact_Table[[#This Row],[0/P Producyivity/Day]]&gt;=500,"Medium","Low"))</f>
        <v>Low</v>
      </c>
      <c r="Q156" s="10">
        <f>Fact_Table[[#This Row],[Capacity_BPD]]/Fact_Table[[#This Row],[Average_Salary_AED]]</f>
        <v>58.244572684803515</v>
      </c>
      <c r="R156" s="15">
        <f>(Fact_Table[[#This Row],[Petrol_Output_BPD]]/Fact_Table[[#This Row],[Capacity_BPD]])</f>
        <v>0.42478485694874313</v>
      </c>
      <c r="S156" s="15">
        <f>Fact_Table[[#This Row],[Diesel_Output_BPD]]/Fact_Table[[#This Row],[Capacity_BPD]]</f>
        <v>0.37600337183261617</v>
      </c>
      <c r="T156" s="15">
        <f>Fact_Table[[#This Row],[Gas_Output_BPD]]/Fact_Table[[#This Row],[Capacity_BPD]]</f>
        <v>0.19921019853551747</v>
      </c>
      <c r="U156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56" s="8">
        <f ca="1">YEAR(TODAY())-Fact_Table[[#This Row],[Commissioned_Year]]</f>
        <v>48</v>
      </c>
      <c r="W156" s="40" cm="1">
        <f t="array" ref="W156">_xlfn.XLOOKUP(Fact_Table[[#This Row],[Commissioned_Year]],cost_table[[#All],[Year]],cost_table[[#All],[Average_Crude_Price_USD_per_Barrel]],"0")</f>
        <v>12.8</v>
      </c>
      <c r="X156" s="40">
        <f>Fact_Table[[#This Row],[Capacity_BPD]]*Fact_Table[[#This Row],[cost per barrel]]</f>
        <v>8138956.8000000007</v>
      </c>
    </row>
    <row r="157" spans="1:24" x14ac:dyDescent="0.35">
      <c r="A157" t="s">
        <v>37</v>
      </c>
      <c r="B157" t="s">
        <v>19</v>
      </c>
      <c r="C157" t="s">
        <v>51</v>
      </c>
      <c r="D157" s="5">
        <v>864692</v>
      </c>
      <c r="E157" s="5">
        <v>2006</v>
      </c>
      <c r="F157" s="5">
        <v>2143</v>
      </c>
      <c r="G157" s="3" t="s">
        <v>31</v>
      </c>
      <c r="H157" s="4">
        <v>21.37</v>
      </c>
      <c r="I157" s="4">
        <v>6.57</v>
      </c>
      <c r="J157" s="5">
        <v>296110</v>
      </c>
      <c r="K157" s="5">
        <v>437578</v>
      </c>
      <c r="L157" s="5">
        <v>131003</v>
      </c>
      <c r="M157" s="3" t="s">
        <v>34</v>
      </c>
      <c r="N157" s="10">
        <v>10391</v>
      </c>
      <c r="O157" s="12">
        <f>(Fact_Table[[#This Row],[Petrol_Output_BPD]]+Fact_Table[[#This Row],[Diesel_Output_BPD]]+Fact_Table[[#This Row],[Gas_Output_BPD]])/Fact_Table[[#This Row],[No_of_Employees]]</f>
        <v>403.49556696220253</v>
      </c>
      <c r="P157" s="2" t="str">
        <f>IF(Fact_Table[[#This Row],[0/P Producyivity/Day]]&gt;=1000,"High",IF(Fact_Table[[#This Row],[0/P Producyivity/Day]]&gt;=500,"Medium","Low"))</f>
        <v>Low</v>
      </c>
      <c r="Q157" s="10">
        <f>Fact_Table[[#This Row],[Capacity_BPD]]/Fact_Table[[#This Row],[Average_Salary_AED]]</f>
        <v>83.215474930228083</v>
      </c>
      <c r="R157" s="15">
        <f>(Fact_Table[[#This Row],[Petrol_Output_BPD]]/Fact_Table[[#This Row],[Capacity_BPD]])</f>
        <v>0.34244563382105997</v>
      </c>
      <c r="S157" s="15">
        <f>Fact_Table[[#This Row],[Diesel_Output_BPD]]/Fact_Table[[#This Row],[Capacity_BPD]]</f>
        <v>0.50605070938553842</v>
      </c>
      <c r="T157" s="15">
        <f>Fact_Table[[#This Row],[Gas_Output_BPD]]/Fact_Table[[#This Row],[Capacity_BPD]]</f>
        <v>0.1515025003122499</v>
      </c>
      <c r="U157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57" s="8">
        <f ca="1">YEAR(TODAY())-Fact_Table[[#This Row],[Commissioned_Year]]</f>
        <v>19</v>
      </c>
      <c r="W157" s="40" cm="1">
        <f t="array" ref="W157">_xlfn.XLOOKUP(Fact_Table[[#This Row],[Commissioned_Year]],cost_table[[#All],[Year]],cost_table[[#All],[Average_Crude_Price_USD_per_Barrel]],"0")</f>
        <v>28.8</v>
      </c>
      <c r="X157" s="40">
        <f>Fact_Table[[#This Row],[Capacity_BPD]]*Fact_Table[[#This Row],[cost per barrel]]</f>
        <v>24903129.600000001</v>
      </c>
    </row>
    <row r="158" spans="1:24" x14ac:dyDescent="0.35">
      <c r="A158" t="s">
        <v>30</v>
      </c>
      <c r="B158" t="s">
        <v>14</v>
      </c>
      <c r="C158" t="s">
        <v>33</v>
      </c>
      <c r="D158" s="5">
        <v>885529</v>
      </c>
      <c r="E158" s="5">
        <v>1983</v>
      </c>
      <c r="F158" s="5">
        <v>2499</v>
      </c>
      <c r="G158" s="3" t="s">
        <v>28</v>
      </c>
      <c r="H158" s="4">
        <v>32.18</v>
      </c>
      <c r="I158" s="4">
        <v>8.06</v>
      </c>
      <c r="J158" s="5">
        <v>357821</v>
      </c>
      <c r="K158" s="5">
        <v>430225</v>
      </c>
      <c r="L158" s="5">
        <v>97482</v>
      </c>
      <c r="M158" s="3" t="s">
        <v>38</v>
      </c>
      <c r="N158" s="10">
        <v>18664</v>
      </c>
      <c r="O158" s="12">
        <f>(Fact_Table[[#This Row],[Petrol_Output_BPD]]+Fact_Table[[#This Row],[Diesel_Output_BPD]]+Fact_Table[[#This Row],[Gas_Output_BPD]])/Fact_Table[[#This Row],[No_of_Employees]]</f>
        <v>354.35294117647061</v>
      </c>
      <c r="P158" s="2" t="str">
        <f>IF(Fact_Table[[#This Row],[0/P Producyivity/Day]]&gt;=1000,"High",IF(Fact_Table[[#This Row],[0/P Producyivity/Day]]&gt;=500,"Medium","Low"))</f>
        <v>Low</v>
      </c>
      <c r="Q158" s="10">
        <f>Fact_Table[[#This Row],[Capacity_BPD]]/Fact_Table[[#This Row],[Average_Salary_AED]]</f>
        <v>47.445831547363909</v>
      </c>
      <c r="R158" s="15">
        <f>(Fact_Table[[#This Row],[Petrol_Output_BPD]]/Fact_Table[[#This Row],[Capacity_BPD]])</f>
        <v>0.40407598170133335</v>
      </c>
      <c r="S158" s="15">
        <f>Fact_Table[[#This Row],[Diesel_Output_BPD]]/Fact_Table[[#This Row],[Capacity_BPD]]</f>
        <v>0.48583953772264937</v>
      </c>
      <c r="T158" s="15">
        <f>Fact_Table[[#This Row],[Gas_Output_BPD]]/Fact_Table[[#This Row],[Capacity_BPD]]</f>
        <v>0.11008335130752353</v>
      </c>
      <c r="U158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58" s="8">
        <f ca="1">YEAR(TODAY())-Fact_Table[[#This Row],[Commissioned_Year]]</f>
        <v>42</v>
      </c>
      <c r="W158" s="40" cm="1">
        <f t="array" ref="W158">_xlfn.XLOOKUP(Fact_Table[[#This Row],[Commissioned_Year]],cost_table[[#All],[Year]],cost_table[[#All],[Average_Crude_Price_USD_per_Barrel]],"0")</f>
        <v>29</v>
      </c>
      <c r="X158" s="40">
        <f>Fact_Table[[#This Row],[Capacity_BPD]]*Fact_Table[[#This Row],[cost per barrel]]</f>
        <v>25680341</v>
      </c>
    </row>
    <row r="159" spans="1:24" x14ac:dyDescent="0.35">
      <c r="A159" t="s">
        <v>37</v>
      </c>
      <c r="B159" t="s">
        <v>32</v>
      </c>
      <c r="C159" t="s">
        <v>47</v>
      </c>
      <c r="D159" s="5">
        <v>117007</v>
      </c>
      <c r="E159" s="5">
        <v>2015</v>
      </c>
      <c r="F159" s="5">
        <v>1909</v>
      </c>
      <c r="G159" s="3" t="s">
        <v>21</v>
      </c>
      <c r="H159" s="4">
        <v>2.52</v>
      </c>
      <c r="I159" s="4">
        <v>5.27</v>
      </c>
      <c r="J159" s="5">
        <v>40780</v>
      </c>
      <c r="K159" s="5">
        <v>61458</v>
      </c>
      <c r="L159" s="5">
        <v>14767</v>
      </c>
      <c r="M159" s="3" t="s">
        <v>38</v>
      </c>
      <c r="N159" s="10">
        <v>9269</v>
      </c>
      <c r="O159" s="12">
        <f>(Fact_Table[[#This Row],[Petrol_Output_BPD]]+Fact_Table[[#This Row],[Diesel_Output_BPD]]+Fact_Table[[#This Row],[Gas_Output_BPD]])/Fact_Table[[#This Row],[No_of_Employees]]</f>
        <v>61.291251964379256</v>
      </c>
      <c r="P159" s="2" t="str">
        <f>IF(Fact_Table[[#This Row],[0/P Producyivity/Day]]&gt;=1000,"High",IF(Fact_Table[[#This Row],[0/P Producyivity/Day]]&gt;=500,"Medium","Low"))</f>
        <v>Low</v>
      </c>
      <c r="Q159" s="10">
        <f>Fact_Table[[#This Row],[Capacity_BPD]]/Fact_Table[[#This Row],[Average_Salary_AED]]</f>
        <v>12.623476103139497</v>
      </c>
      <c r="R159" s="15">
        <f>(Fact_Table[[#This Row],[Petrol_Output_BPD]]/Fact_Table[[#This Row],[Capacity_BPD]])</f>
        <v>0.34852615655473607</v>
      </c>
      <c r="S159" s="15">
        <f>Fact_Table[[#This Row],[Diesel_Output_BPD]]/Fact_Table[[#This Row],[Capacity_BPD]]</f>
        <v>0.52525062603092121</v>
      </c>
      <c r="T159" s="15">
        <f>Fact_Table[[#This Row],[Gas_Output_BPD]]/Fact_Table[[#This Row],[Capacity_BPD]]</f>
        <v>0.1262061244199065</v>
      </c>
      <c r="U159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59" s="8">
        <f ca="1">YEAR(TODAY())-Fact_Table[[#This Row],[Commissioned_Year]]</f>
        <v>10</v>
      </c>
      <c r="W159" s="40" cm="1">
        <f t="array" ref="W159">_xlfn.XLOOKUP(Fact_Table[[#This Row],[Commissioned_Year]],cost_table[[#All],[Year]],cost_table[[#All],[Average_Crude_Price_USD_per_Barrel]],"0")</f>
        <v>43.7</v>
      </c>
      <c r="X159" s="40">
        <f>Fact_Table[[#This Row],[Capacity_BPD]]*Fact_Table[[#This Row],[cost per barrel]]</f>
        <v>5113205.9000000004</v>
      </c>
    </row>
    <row r="160" spans="1:24" x14ac:dyDescent="0.35">
      <c r="A160" t="s">
        <v>30</v>
      </c>
      <c r="B160" t="s">
        <v>19</v>
      </c>
      <c r="C160" t="s">
        <v>33</v>
      </c>
      <c r="D160" s="5">
        <v>517485</v>
      </c>
      <c r="E160" s="5">
        <v>1998</v>
      </c>
      <c r="F160" s="5">
        <v>2435</v>
      </c>
      <c r="G160" s="3" t="s">
        <v>31</v>
      </c>
      <c r="H160" s="4">
        <v>32.69</v>
      </c>
      <c r="I160" s="4">
        <v>5.82</v>
      </c>
      <c r="J160" s="5">
        <v>166684</v>
      </c>
      <c r="K160" s="5">
        <v>274569</v>
      </c>
      <c r="L160" s="5">
        <v>76231</v>
      </c>
      <c r="M160" s="3" t="s">
        <v>23</v>
      </c>
      <c r="N160" s="10">
        <v>12730</v>
      </c>
      <c r="O160" s="12">
        <f>(Fact_Table[[#This Row],[Petrol_Output_BPD]]+Fact_Table[[#This Row],[Diesel_Output_BPD]]+Fact_Table[[#This Row],[Gas_Output_BPD]])/Fact_Table[[#This Row],[No_of_Employees]]</f>
        <v>212.51909650924026</v>
      </c>
      <c r="P160" s="2" t="str">
        <f>IF(Fact_Table[[#This Row],[0/P Producyivity/Day]]&gt;=1000,"High",IF(Fact_Table[[#This Row],[0/P Producyivity/Day]]&gt;=500,"Medium","Low"))</f>
        <v>Low</v>
      </c>
      <c r="Q160" s="10">
        <f>Fact_Table[[#This Row],[Capacity_BPD]]/Fact_Table[[#This Row],[Average_Salary_AED]]</f>
        <v>40.650824823252158</v>
      </c>
      <c r="R160" s="15">
        <f>(Fact_Table[[#This Row],[Petrol_Output_BPD]]/Fact_Table[[#This Row],[Capacity_BPD]])</f>
        <v>0.32210402233881175</v>
      </c>
      <c r="S160" s="15">
        <f>Fact_Table[[#This Row],[Diesel_Output_BPD]]/Fact_Table[[#This Row],[Capacity_BPD]]</f>
        <v>0.53058349517377312</v>
      </c>
      <c r="T160" s="15">
        <f>Fact_Table[[#This Row],[Gas_Output_BPD]]/Fact_Table[[#This Row],[Capacity_BPD]]</f>
        <v>0.14731055006425306</v>
      </c>
      <c r="U160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60" s="8">
        <f ca="1">YEAR(TODAY())-Fact_Table[[#This Row],[Commissioned_Year]]</f>
        <v>27</v>
      </c>
      <c r="W160" s="40" cm="1">
        <f t="array" ref="W160">_xlfn.XLOOKUP(Fact_Table[[#This Row],[Commissioned_Year]],cost_table[[#All],[Year]],cost_table[[#All],[Average_Crude_Price_USD_per_Barrel]],"0")</f>
        <v>12.8</v>
      </c>
      <c r="X160" s="40">
        <f>Fact_Table[[#This Row],[Capacity_BPD]]*Fact_Table[[#This Row],[cost per barrel]]</f>
        <v>6623808</v>
      </c>
    </row>
    <row r="161" spans="1:24" x14ac:dyDescent="0.35">
      <c r="A161" t="s">
        <v>18</v>
      </c>
      <c r="B161" t="s">
        <v>26</v>
      </c>
      <c r="C161" t="s">
        <v>49</v>
      </c>
      <c r="D161" s="5">
        <v>749580</v>
      </c>
      <c r="E161" s="5">
        <v>2009</v>
      </c>
      <c r="F161" s="5">
        <v>993</v>
      </c>
      <c r="G161" s="3" t="s">
        <v>21</v>
      </c>
      <c r="H161" s="4">
        <v>30.31</v>
      </c>
      <c r="I161" s="4">
        <v>8.0500000000000007</v>
      </c>
      <c r="J161" s="5">
        <v>281949</v>
      </c>
      <c r="K161" s="5">
        <v>353586</v>
      </c>
      <c r="L161" s="5">
        <v>114043</v>
      </c>
      <c r="M161" s="3" t="s">
        <v>38</v>
      </c>
      <c r="N161" s="10">
        <v>13068</v>
      </c>
      <c r="O161" s="12">
        <f>(Fact_Table[[#This Row],[Petrol_Output_BPD]]+Fact_Table[[#This Row],[Diesel_Output_BPD]]+Fact_Table[[#This Row],[Gas_Output_BPD]])/Fact_Table[[#This Row],[No_of_Employees]]</f>
        <v>754.86203423967777</v>
      </c>
      <c r="P161" s="2" t="str">
        <f>IF(Fact_Table[[#This Row],[0/P Producyivity/Day]]&gt;=1000,"High",IF(Fact_Table[[#This Row],[0/P Producyivity/Day]]&gt;=500,"Medium","Low"))</f>
        <v>Medium</v>
      </c>
      <c r="Q161" s="10">
        <f>Fact_Table[[#This Row],[Capacity_BPD]]/Fact_Table[[#This Row],[Average_Salary_AED]]</f>
        <v>57.359963269054177</v>
      </c>
      <c r="R161" s="15">
        <f>(Fact_Table[[#This Row],[Petrol_Output_BPD]]/Fact_Table[[#This Row],[Capacity_BPD]])</f>
        <v>0.37614263987833185</v>
      </c>
      <c r="S161" s="15">
        <f>Fact_Table[[#This Row],[Diesel_Output_BPD]]/Fact_Table[[#This Row],[Capacity_BPD]]</f>
        <v>0.47171215880893302</v>
      </c>
      <c r="T161" s="15">
        <f>Fact_Table[[#This Row],[Gas_Output_BPD]]/Fact_Table[[#This Row],[Capacity_BPD]]</f>
        <v>0.15214253315189841</v>
      </c>
      <c r="U161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61" s="8">
        <f ca="1">YEAR(TODAY())-Fact_Table[[#This Row],[Commissioned_Year]]</f>
        <v>16</v>
      </c>
      <c r="W161" s="40" cm="1">
        <f t="array" ref="W161">_xlfn.XLOOKUP(Fact_Table[[#This Row],[Commissioned_Year]],cost_table[[#All],[Year]],cost_table[[#All],[Average_Crude_Price_USD_per_Barrel]],"0")</f>
        <v>41.4</v>
      </c>
      <c r="X161" s="40">
        <f>Fact_Table[[#This Row],[Capacity_BPD]]*Fact_Table[[#This Row],[cost per barrel]]</f>
        <v>31032612</v>
      </c>
    </row>
    <row r="162" spans="1:24" x14ac:dyDescent="0.35">
      <c r="A162" t="s">
        <v>24</v>
      </c>
      <c r="B162" t="s">
        <v>25</v>
      </c>
      <c r="C162" t="s">
        <v>20</v>
      </c>
      <c r="D162" s="5">
        <v>597745</v>
      </c>
      <c r="E162" s="5">
        <v>2008</v>
      </c>
      <c r="F162" s="5">
        <v>1580</v>
      </c>
      <c r="G162" s="3" t="s">
        <v>16</v>
      </c>
      <c r="H162" s="4">
        <v>33.909999999999997</v>
      </c>
      <c r="I162" s="4">
        <v>5.26</v>
      </c>
      <c r="J162" s="5">
        <v>184177</v>
      </c>
      <c r="K162" s="5">
        <v>254227</v>
      </c>
      <c r="L162" s="5">
        <v>159340</v>
      </c>
      <c r="M162" s="3" t="s">
        <v>17</v>
      </c>
      <c r="N162" s="10">
        <v>15897</v>
      </c>
      <c r="O162" s="12">
        <f>(Fact_Table[[#This Row],[Petrol_Output_BPD]]+Fact_Table[[#This Row],[Diesel_Output_BPD]]+Fact_Table[[#This Row],[Gas_Output_BPD]])/Fact_Table[[#This Row],[No_of_Employees]]</f>
        <v>378.31898734177213</v>
      </c>
      <c r="P162" s="2" t="str">
        <f>IF(Fact_Table[[#This Row],[0/P Producyivity/Day]]&gt;=1000,"High",IF(Fact_Table[[#This Row],[0/P Producyivity/Day]]&gt;=500,"Medium","Low"))</f>
        <v>Low</v>
      </c>
      <c r="Q162" s="10">
        <f>Fact_Table[[#This Row],[Capacity_BPD]]/Fact_Table[[#This Row],[Average_Salary_AED]]</f>
        <v>37.601119708121033</v>
      </c>
      <c r="R162" s="15">
        <f>(Fact_Table[[#This Row],[Petrol_Output_BPD]]/Fact_Table[[#This Row],[Capacity_BPD]])</f>
        <v>0.30811968314247712</v>
      </c>
      <c r="S162" s="15">
        <f>Fact_Table[[#This Row],[Diesel_Output_BPD]]/Fact_Table[[#This Row],[Capacity_BPD]]</f>
        <v>0.42531012388225747</v>
      </c>
      <c r="T162" s="15">
        <f>Fact_Table[[#This Row],[Gas_Output_BPD]]/Fact_Table[[#This Row],[Capacity_BPD]]</f>
        <v>0.26656852002107922</v>
      </c>
      <c r="U16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62" s="8">
        <f ca="1">YEAR(TODAY())-Fact_Table[[#This Row],[Commissioned_Year]]</f>
        <v>17</v>
      </c>
      <c r="W162" s="40" cm="1">
        <f t="array" ref="W162">_xlfn.XLOOKUP(Fact_Table[[#This Row],[Commissioned_Year]],cost_table[[#All],[Year]],cost_table[[#All],[Average_Crude_Price_USD_per_Barrel]],"0")</f>
        <v>31</v>
      </c>
      <c r="X162" s="40">
        <f>Fact_Table[[#This Row],[Capacity_BPD]]*Fact_Table[[#This Row],[cost per barrel]]</f>
        <v>18530095</v>
      </c>
    </row>
    <row r="163" spans="1:24" x14ac:dyDescent="0.35">
      <c r="A163" t="s">
        <v>30</v>
      </c>
      <c r="B163" t="s">
        <v>32</v>
      </c>
      <c r="C163" t="s">
        <v>15</v>
      </c>
      <c r="D163" s="5">
        <v>367500</v>
      </c>
      <c r="E163" s="5">
        <v>2009</v>
      </c>
      <c r="F163" s="5">
        <v>2188</v>
      </c>
      <c r="G163" s="3" t="s">
        <v>31</v>
      </c>
      <c r="H163" s="4">
        <v>14.02</v>
      </c>
      <c r="I163" s="4">
        <v>9.51</v>
      </c>
      <c r="J163" s="5">
        <v>152936</v>
      </c>
      <c r="K163" s="5">
        <v>176306</v>
      </c>
      <c r="L163" s="5">
        <v>38256</v>
      </c>
      <c r="M163" s="3" t="s">
        <v>34</v>
      </c>
      <c r="N163" s="10">
        <v>20244</v>
      </c>
      <c r="O163" s="12">
        <f>(Fact_Table[[#This Row],[Petrol_Output_BPD]]+Fact_Table[[#This Row],[Diesel_Output_BPD]]+Fact_Table[[#This Row],[Gas_Output_BPD]])/Fact_Table[[#This Row],[No_of_Employees]]</f>
        <v>167.96069469835467</v>
      </c>
      <c r="P163" s="2" t="str">
        <f>IF(Fact_Table[[#This Row],[0/P Producyivity/Day]]&gt;=1000,"High",IF(Fact_Table[[#This Row],[0/P Producyivity/Day]]&gt;=500,"Medium","Low"))</f>
        <v>Low</v>
      </c>
      <c r="Q163" s="10">
        <f>Fact_Table[[#This Row],[Capacity_BPD]]/Fact_Table[[#This Row],[Average_Salary_AED]]</f>
        <v>18.153526970954356</v>
      </c>
      <c r="R163" s="15">
        <f>(Fact_Table[[#This Row],[Petrol_Output_BPD]]/Fact_Table[[#This Row],[Capacity_BPD]])</f>
        <v>0.41615238095238094</v>
      </c>
      <c r="S163" s="15">
        <f>Fact_Table[[#This Row],[Diesel_Output_BPD]]/Fact_Table[[#This Row],[Capacity_BPD]]</f>
        <v>0.47974421768707481</v>
      </c>
      <c r="T163" s="15">
        <f>Fact_Table[[#This Row],[Gas_Output_BPD]]/Fact_Table[[#This Row],[Capacity_BPD]]</f>
        <v>0.10409795918367347</v>
      </c>
      <c r="U163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63" s="8">
        <f ca="1">YEAR(TODAY())-Fact_Table[[#This Row],[Commissioned_Year]]</f>
        <v>16</v>
      </c>
      <c r="W163" s="40" cm="1">
        <f t="array" ref="W163">_xlfn.XLOOKUP(Fact_Table[[#This Row],[Commissioned_Year]],cost_table[[#All],[Year]],cost_table[[#All],[Average_Crude_Price_USD_per_Barrel]],"0")</f>
        <v>41.4</v>
      </c>
      <c r="X163" s="40">
        <f>Fact_Table[[#This Row],[Capacity_BPD]]*Fact_Table[[#This Row],[cost per barrel]]</f>
        <v>15214500</v>
      </c>
    </row>
    <row r="164" spans="1:24" x14ac:dyDescent="0.35">
      <c r="A164" t="s">
        <v>35</v>
      </c>
      <c r="B164" t="s">
        <v>14</v>
      </c>
      <c r="C164" t="s">
        <v>20</v>
      </c>
      <c r="D164" s="5">
        <v>623125</v>
      </c>
      <c r="E164" s="5">
        <v>2011</v>
      </c>
      <c r="F164" s="5">
        <v>1852</v>
      </c>
      <c r="G164" s="3" t="s">
        <v>16</v>
      </c>
      <c r="H164" s="4">
        <v>11.33</v>
      </c>
      <c r="I164" s="4">
        <v>7.47</v>
      </c>
      <c r="J164" s="5">
        <v>295303</v>
      </c>
      <c r="K164" s="5">
        <v>245724</v>
      </c>
      <c r="L164" s="5">
        <v>82096</v>
      </c>
      <c r="M164" s="3" t="s">
        <v>34</v>
      </c>
      <c r="N164" s="10">
        <v>11241</v>
      </c>
      <c r="O164" s="12">
        <f>(Fact_Table[[#This Row],[Petrol_Output_BPD]]+Fact_Table[[#This Row],[Diesel_Output_BPD]]+Fact_Table[[#This Row],[Gas_Output_BPD]])/Fact_Table[[#This Row],[No_of_Employees]]</f>
        <v>336.4595032397408</v>
      </c>
      <c r="P164" s="2" t="str">
        <f>IF(Fact_Table[[#This Row],[0/P Producyivity/Day]]&gt;=1000,"High",IF(Fact_Table[[#This Row],[0/P Producyivity/Day]]&gt;=500,"Medium","Low"))</f>
        <v>Low</v>
      </c>
      <c r="Q164" s="10">
        <f>Fact_Table[[#This Row],[Capacity_BPD]]/Fact_Table[[#This Row],[Average_Salary_AED]]</f>
        <v>55.433235477270706</v>
      </c>
      <c r="R164" s="15">
        <f>(Fact_Table[[#This Row],[Petrol_Output_BPD]]/Fact_Table[[#This Row],[Capacity_BPD]])</f>
        <v>0.47390651955867602</v>
      </c>
      <c r="S164" s="15">
        <f>Fact_Table[[#This Row],[Diesel_Output_BPD]]/Fact_Table[[#This Row],[Capacity_BPD]]</f>
        <v>0.39434142427281843</v>
      </c>
      <c r="T164" s="15">
        <f>Fact_Table[[#This Row],[Gas_Output_BPD]]/Fact_Table[[#This Row],[Capacity_BPD]]</f>
        <v>0.13174884653961885</v>
      </c>
      <c r="U164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64" s="8">
        <f ca="1">YEAR(TODAY())-Fact_Table[[#This Row],[Commissioned_Year]]</f>
        <v>14</v>
      </c>
      <c r="W164" s="40" cm="1">
        <f t="array" ref="W164">_xlfn.XLOOKUP(Fact_Table[[#This Row],[Commissioned_Year]],cost_table[[#All],[Year]],cost_table[[#All],[Average_Crude_Price_USD_per_Barrel]],"0")</f>
        <v>66.099999999999994</v>
      </c>
      <c r="X164" s="40">
        <f>Fact_Table[[#This Row],[Capacity_BPD]]*Fact_Table[[#This Row],[cost per barrel]]</f>
        <v>41188562.5</v>
      </c>
    </row>
    <row r="165" spans="1:24" x14ac:dyDescent="0.35">
      <c r="A165" t="s">
        <v>36</v>
      </c>
      <c r="B165" t="s">
        <v>26</v>
      </c>
      <c r="C165" t="s">
        <v>15</v>
      </c>
      <c r="D165" s="5">
        <v>109380</v>
      </c>
      <c r="E165" s="5">
        <v>2007</v>
      </c>
      <c r="F165" s="5">
        <v>1947</v>
      </c>
      <c r="G165" s="3" t="s">
        <v>21</v>
      </c>
      <c r="H165" s="4">
        <v>16.43</v>
      </c>
      <c r="I165" s="4">
        <v>5.44</v>
      </c>
      <c r="J165" s="5">
        <v>36824</v>
      </c>
      <c r="K165" s="5">
        <v>51166</v>
      </c>
      <c r="L165" s="5">
        <v>21389</v>
      </c>
      <c r="M165" s="3" t="s">
        <v>38</v>
      </c>
      <c r="N165" s="10">
        <v>24395</v>
      </c>
      <c r="O165" s="12">
        <f>(Fact_Table[[#This Row],[Petrol_Output_BPD]]+Fact_Table[[#This Row],[Diesel_Output_BPD]]+Fact_Table[[#This Row],[Gas_Output_BPD]])/Fact_Table[[#This Row],[No_of_Employees]]</f>
        <v>56.178222907036464</v>
      </c>
      <c r="P165" s="2" t="str">
        <f>IF(Fact_Table[[#This Row],[0/P Producyivity/Day]]&gt;=1000,"High",IF(Fact_Table[[#This Row],[0/P Producyivity/Day]]&gt;=500,"Medium","Low"))</f>
        <v>Low</v>
      </c>
      <c r="Q165" s="10">
        <f>Fact_Table[[#This Row],[Capacity_BPD]]/Fact_Table[[#This Row],[Average_Salary_AED]]</f>
        <v>4.4837056773929085</v>
      </c>
      <c r="R165" s="15">
        <f>(Fact_Table[[#This Row],[Petrol_Output_BPD]]/Fact_Table[[#This Row],[Capacity_BPD]])</f>
        <v>0.33666118120314498</v>
      </c>
      <c r="S165" s="15">
        <f>Fact_Table[[#This Row],[Diesel_Output_BPD]]/Fact_Table[[#This Row],[Capacity_BPD]]</f>
        <v>0.46778204424940573</v>
      </c>
      <c r="T165" s="15">
        <f>Fact_Table[[#This Row],[Gas_Output_BPD]]/Fact_Table[[#This Row],[Capacity_BPD]]</f>
        <v>0.19554763210824647</v>
      </c>
      <c r="U165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65" s="8">
        <f ca="1">YEAR(TODAY())-Fact_Table[[#This Row],[Commissioned_Year]]</f>
        <v>18</v>
      </c>
      <c r="W165" s="40" cm="1">
        <f t="array" ref="W165">_xlfn.XLOOKUP(Fact_Table[[#This Row],[Commissioned_Year]],cost_table[[#All],[Year]],cost_table[[#All],[Average_Crude_Price_USD_per_Barrel]],"0")</f>
        <v>24.4</v>
      </c>
      <c r="X165" s="40">
        <f>Fact_Table[[#This Row],[Capacity_BPD]]*Fact_Table[[#This Row],[cost per barrel]]</f>
        <v>2668872</v>
      </c>
    </row>
    <row r="166" spans="1:24" x14ac:dyDescent="0.35">
      <c r="A166" t="s">
        <v>37</v>
      </c>
      <c r="B166" t="s">
        <v>14</v>
      </c>
      <c r="C166" t="s">
        <v>50</v>
      </c>
      <c r="D166" s="5">
        <v>59144</v>
      </c>
      <c r="E166" s="5">
        <v>1995</v>
      </c>
      <c r="F166" s="5">
        <v>543</v>
      </c>
      <c r="G166" s="3" t="s">
        <v>21</v>
      </c>
      <c r="H166" s="4">
        <v>18.09</v>
      </c>
      <c r="I166" s="4">
        <v>7.49</v>
      </c>
      <c r="J166" s="5">
        <v>19486</v>
      </c>
      <c r="K166" s="5">
        <v>30539</v>
      </c>
      <c r="L166" s="5">
        <v>9117</v>
      </c>
      <c r="M166" s="3" t="s">
        <v>17</v>
      </c>
      <c r="N166" s="10">
        <v>18363</v>
      </c>
      <c r="O166" s="12">
        <f>(Fact_Table[[#This Row],[Petrol_Output_BPD]]+Fact_Table[[#This Row],[Diesel_Output_BPD]]+Fact_Table[[#This Row],[Gas_Output_BPD]])/Fact_Table[[#This Row],[No_of_Employees]]</f>
        <v>108.9171270718232</v>
      </c>
      <c r="P166" s="2" t="str">
        <f>IF(Fact_Table[[#This Row],[0/P Producyivity/Day]]&gt;=1000,"High",IF(Fact_Table[[#This Row],[0/P Producyivity/Day]]&gt;=500,"Medium","Low"))</f>
        <v>Low</v>
      </c>
      <c r="Q166" s="10">
        <f>Fact_Table[[#This Row],[Capacity_BPD]]/Fact_Table[[#This Row],[Average_Salary_AED]]</f>
        <v>3.2208244840167728</v>
      </c>
      <c r="R166" s="15">
        <f>(Fact_Table[[#This Row],[Petrol_Output_BPD]]/Fact_Table[[#This Row],[Capacity_BPD]])</f>
        <v>0.32946706343838766</v>
      </c>
      <c r="S166" s="15">
        <f>Fact_Table[[#This Row],[Diesel_Output_BPD]]/Fact_Table[[#This Row],[Capacity_BPD]]</f>
        <v>0.51634992560530235</v>
      </c>
      <c r="T166" s="15">
        <f>Fact_Table[[#This Row],[Gas_Output_BPD]]/Fact_Table[[#This Row],[Capacity_BPD]]</f>
        <v>0.1541491951846341</v>
      </c>
      <c r="U16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66" s="8">
        <f ca="1">YEAR(TODAY())-Fact_Table[[#This Row],[Commissioned_Year]]</f>
        <v>30</v>
      </c>
      <c r="W166" s="40" cm="1">
        <f t="array" ref="W166">_xlfn.XLOOKUP(Fact_Table[[#This Row],[Commissioned_Year]],cost_table[[#All],[Year]],cost_table[[#All],[Average_Crude_Price_USD_per_Barrel]],"0")</f>
        <v>20.100000000000001</v>
      </c>
      <c r="X166" s="40">
        <f>Fact_Table[[#This Row],[Capacity_BPD]]*Fact_Table[[#This Row],[cost per barrel]]</f>
        <v>1188794.4000000001</v>
      </c>
    </row>
    <row r="167" spans="1:24" x14ac:dyDescent="0.35">
      <c r="A167" t="s">
        <v>22</v>
      </c>
      <c r="B167" t="s">
        <v>32</v>
      </c>
      <c r="C167" t="s">
        <v>50</v>
      </c>
      <c r="D167" s="5">
        <v>177461</v>
      </c>
      <c r="E167" s="5">
        <v>2001</v>
      </c>
      <c r="F167" s="5">
        <v>2209</v>
      </c>
      <c r="G167" s="3" t="s">
        <v>28</v>
      </c>
      <c r="H167" s="4">
        <v>13.99</v>
      </c>
      <c r="I167" s="4">
        <v>8.0399999999999991</v>
      </c>
      <c r="J167" s="5">
        <v>77600</v>
      </c>
      <c r="K167" s="5">
        <v>62643</v>
      </c>
      <c r="L167" s="5">
        <v>37217</v>
      </c>
      <c r="M167" s="3" t="s">
        <v>17</v>
      </c>
      <c r="N167" s="10">
        <v>10931</v>
      </c>
      <c r="O167" s="12">
        <f>(Fact_Table[[#This Row],[Petrol_Output_BPD]]+Fact_Table[[#This Row],[Diesel_Output_BPD]]+Fact_Table[[#This Row],[Gas_Output_BPD]])/Fact_Table[[#This Row],[No_of_Employees]]</f>
        <v>80.334993209597101</v>
      </c>
      <c r="P167" s="2" t="str">
        <f>IF(Fact_Table[[#This Row],[0/P Producyivity/Day]]&gt;=1000,"High",IF(Fact_Table[[#This Row],[0/P Producyivity/Day]]&gt;=500,"Medium","Low"))</f>
        <v>Low</v>
      </c>
      <c r="Q167" s="10">
        <f>Fact_Table[[#This Row],[Capacity_BPD]]/Fact_Table[[#This Row],[Average_Salary_AED]]</f>
        <v>16.234653737078034</v>
      </c>
      <c r="R167" s="15">
        <f>(Fact_Table[[#This Row],[Petrol_Output_BPD]]/Fact_Table[[#This Row],[Capacity_BPD]])</f>
        <v>0.43727917683321971</v>
      </c>
      <c r="S167" s="15">
        <f>Fact_Table[[#This Row],[Diesel_Output_BPD]]/Fact_Table[[#This Row],[Capacity_BPD]]</f>
        <v>0.35299586951499201</v>
      </c>
      <c r="T167" s="15">
        <f>Fact_Table[[#This Row],[Gas_Output_BPD]]/Fact_Table[[#This Row],[Capacity_BPD]]</f>
        <v>0.20971931861084972</v>
      </c>
      <c r="U167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67" s="8">
        <f ca="1">YEAR(TODAY())-Fact_Table[[#This Row],[Commissioned_Year]]</f>
        <v>24</v>
      </c>
      <c r="W167" s="40" cm="1">
        <f t="array" ref="W167">_xlfn.XLOOKUP(Fact_Table[[#This Row],[Commissioned_Year]],cost_table[[#All],[Year]],cost_table[[#All],[Average_Crude_Price_USD_per_Barrel]],"0")</f>
        <v>28.4</v>
      </c>
      <c r="X167" s="40">
        <f>Fact_Table[[#This Row],[Capacity_BPD]]*Fact_Table[[#This Row],[cost per barrel]]</f>
        <v>5039892.3999999994</v>
      </c>
    </row>
    <row r="168" spans="1:24" x14ac:dyDescent="0.35">
      <c r="A168" t="s">
        <v>37</v>
      </c>
      <c r="B168" t="s">
        <v>40</v>
      </c>
      <c r="C168" t="s">
        <v>51</v>
      </c>
      <c r="D168" s="5">
        <v>667842</v>
      </c>
      <c r="E168" s="5">
        <v>2022</v>
      </c>
      <c r="F168" s="5">
        <v>1971</v>
      </c>
      <c r="G168" s="3" t="s">
        <v>28</v>
      </c>
      <c r="H168" s="4">
        <v>33.74</v>
      </c>
      <c r="I168" s="4">
        <v>6.74</v>
      </c>
      <c r="J168" s="5">
        <v>267552</v>
      </c>
      <c r="K168" s="5">
        <v>241127</v>
      </c>
      <c r="L168" s="5">
        <v>159162</v>
      </c>
      <c r="M168" s="3" t="s">
        <v>29</v>
      </c>
      <c r="N168" s="10">
        <v>22231</v>
      </c>
      <c r="O168" s="12">
        <f>(Fact_Table[[#This Row],[Petrol_Output_BPD]]+Fact_Table[[#This Row],[Diesel_Output_BPD]]+Fact_Table[[#This Row],[Gas_Output_BPD]])/Fact_Table[[#This Row],[No_of_Employees]]</f>
        <v>338.83358701166918</v>
      </c>
      <c r="P168" s="2" t="str">
        <f>IF(Fact_Table[[#This Row],[0/P Producyivity/Day]]&gt;=1000,"High",IF(Fact_Table[[#This Row],[0/P Producyivity/Day]]&gt;=500,"Medium","Low"))</f>
        <v>Low</v>
      </c>
      <c r="Q168" s="10">
        <f>Fact_Table[[#This Row],[Capacity_BPD]]/Fact_Table[[#This Row],[Average_Salary_AED]]</f>
        <v>30.041023795600736</v>
      </c>
      <c r="R168" s="15">
        <f>(Fact_Table[[#This Row],[Petrol_Output_BPD]]/Fact_Table[[#This Row],[Capacity_BPD]])</f>
        <v>0.40062170393596092</v>
      </c>
      <c r="S168" s="15">
        <f>Fact_Table[[#This Row],[Diesel_Output_BPD]]/Fact_Table[[#This Row],[Capacity_BPD]]</f>
        <v>0.36105396186523159</v>
      </c>
      <c r="T168" s="15">
        <f>Fact_Table[[#This Row],[Gas_Output_BPD]]/Fact_Table[[#This Row],[Capacity_BPD]]</f>
        <v>0.23832283683865346</v>
      </c>
      <c r="U16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68" s="8">
        <f ca="1">YEAR(TODAY())-Fact_Table[[#This Row],[Commissioned_Year]]</f>
        <v>3</v>
      </c>
      <c r="W168" s="40" cm="1">
        <f t="array" ref="W168">_xlfn.XLOOKUP(Fact_Table[[#This Row],[Commissioned_Year]],cost_table[[#All],[Year]],cost_table[[#All],[Average_Crude_Price_USD_per_Barrel]],"0")</f>
        <v>71.3</v>
      </c>
      <c r="X168" s="40">
        <f>Fact_Table[[#This Row],[Capacity_BPD]]*Fact_Table[[#This Row],[cost per barrel]]</f>
        <v>47617134.600000001</v>
      </c>
    </row>
    <row r="169" spans="1:24" x14ac:dyDescent="0.35">
      <c r="A169" t="s">
        <v>35</v>
      </c>
      <c r="B169" t="s">
        <v>25</v>
      </c>
      <c r="C169" t="s">
        <v>33</v>
      </c>
      <c r="D169" s="5">
        <v>105926</v>
      </c>
      <c r="E169" s="5">
        <v>1984</v>
      </c>
      <c r="F169" s="5">
        <v>368</v>
      </c>
      <c r="G169" s="3" t="s">
        <v>21</v>
      </c>
      <c r="H169" s="4">
        <v>30.58</v>
      </c>
      <c r="I169" s="4">
        <v>9.43</v>
      </c>
      <c r="J169" s="5">
        <v>41257</v>
      </c>
      <c r="K169" s="5">
        <v>49466</v>
      </c>
      <c r="L169" s="5">
        <v>15202</v>
      </c>
      <c r="M169" s="3" t="s">
        <v>38</v>
      </c>
      <c r="N169" s="10">
        <v>23554</v>
      </c>
      <c r="O169" s="12">
        <f>(Fact_Table[[#This Row],[Petrol_Output_BPD]]+Fact_Table[[#This Row],[Diesel_Output_BPD]]+Fact_Table[[#This Row],[Gas_Output_BPD]])/Fact_Table[[#This Row],[No_of_Employees]]</f>
        <v>287.8396739130435</v>
      </c>
      <c r="P169" s="2" t="str">
        <f>IF(Fact_Table[[#This Row],[0/P Producyivity/Day]]&gt;=1000,"High",IF(Fact_Table[[#This Row],[0/P Producyivity/Day]]&gt;=500,"Medium","Low"))</f>
        <v>Low</v>
      </c>
      <c r="Q169" s="10">
        <f>Fact_Table[[#This Row],[Capacity_BPD]]/Fact_Table[[#This Row],[Average_Salary_AED]]</f>
        <v>4.4971554725312046</v>
      </c>
      <c r="R169" s="15">
        <f>(Fact_Table[[#This Row],[Petrol_Output_BPD]]/Fact_Table[[#This Row],[Capacity_BPD]])</f>
        <v>0.38948888846930874</v>
      </c>
      <c r="S169" s="15">
        <f>Fact_Table[[#This Row],[Diesel_Output_BPD]]/Fact_Table[[#This Row],[Capacity_BPD]]</f>
        <v>0.46698638672280651</v>
      </c>
      <c r="T169" s="15">
        <f>Fact_Table[[#This Row],[Gas_Output_BPD]]/Fact_Table[[#This Row],[Capacity_BPD]]</f>
        <v>0.14351528425504598</v>
      </c>
      <c r="U169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69" s="8">
        <f ca="1">YEAR(TODAY())-Fact_Table[[#This Row],[Commissioned_Year]]</f>
        <v>41</v>
      </c>
      <c r="W169" s="40" cm="1">
        <f t="array" ref="W169">_xlfn.XLOOKUP(Fact_Table[[#This Row],[Commissioned_Year]],cost_table[[#All],[Year]],cost_table[[#All],[Average_Crude_Price_USD_per_Barrel]],"0")</f>
        <v>28.5</v>
      </c>
      <c r="X169" s="40">
        <f>Fact_Table[[#This Row],[Capacity_BPD]]*Fact_Table[[#This Row],[cost per barrel]]</f>
        <v>3018891</v>
      </c>
    </row>
    <row r="170" spans="1:24" x14ac:dyDescent="0.35">
      <c r="A170" t="s">
        <v>36</v>
      </c>
      <c r="B170" t="s">
        <v>26</v>
      </c>
      <c r="C170" t="s">
        <v>46</v>
      </c>
      <c r="D170" s="5">
        <v>679175</v>
      </c>
      <c r="E170" s="5">
        <v>2011</v>
      </c>
      <c r="F170" s="5">
        <v>2475</v>
      </c>
      <c r="G170" s="3" t="s">
        <v>21</v>
      </c>
      <c r="H170" s="4">
        <v>22.28</v>
      </c>
      <c r="I170" s="4">
        <v>5.28</v>
      </c>
      <c r="J170" s="5">
        <v>246506</v>
      </c>
      <c r="K170" s="5">
        <v>242910</v>
      </c>
      <c r="L170" s="5">
        <v>189757</v>
      </c>
      <c r="M170" s="3" t="s">
        <v>17</v>
      </c>
      <c r="N170" s="10">
        <v>23957</v>
      </c>
      <c r="O170" s="12">
        <f>(Fact_Table[[#This Row],[Petrol_Output_BPD]]+Fact_Table[[#This Row],[Diesel_Output_BPD]]+Fact_Table[[#This Row],[Gas_Output_BPD]])/Fact_Table[[#This Row],[No_of_Employees]]</f>
        <v>274.41333333333336</v>
      </c>
      <c r="P170" s="2" t="str">
        <f>IF(Fact_Table[[#This Row],[0/P Producyivity/Day]]&gt;=1000,"High",IF(Fact_Table[[#This Row],[0/P Producyivity/Day]]&gt;=500,"Medium","Low"))</f>
        <v>Low</v>
      </c>
      <c r="Q170" s="10">
        <f>Fact_Table[[#This Row],[Capacity_BPD]]/Fact_Table[[#This Row],[Average_Salary_AED]]</f>
        <v>28.349751638352046</v>
      </c>
      <c r="R170" s="15">
        <f>(Fact_Table[[#This Row],[Petrol_Output_BPD]]/Fact_Table[[#This Row],[Capacity_BPD]])</f>
        <v>0.36294916626789853</v>
      </c>
      <c r="S170" s="15">
        <f>Fact_Table[[#This Row],[Diesel_Output_BPD]]/Fact_Table[[#This Row],[Capacity_BPD]]</f>
        <v>0.35765450730665882</v>
      </c>
      <c r="T170" s="15">
        <f>Fact_Table[[#This Row],[Gas_Output_BPD]]/Fact_Table[[#This Row],[Capacity_BPD]]</f>
        <v>0.27939338167629846</v>
      </c>
      <c r="U170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70" s="8">
        <f ca="1">YEAR(TODAY())-Fact_Table[[#This Row],[Commissioned_Year]]</f>
        <v>14</v>
      </c>
      <c r="W170" s="40" cm="1">
        <f t="array" ref="W170">_xlfn.XLOOKUP(Fact_Table[[#This Row],[Commissioned_Year]],cost_table[[#All],[Year]],cost_table[[#All],[Average_Crude_Price_USD_per_Barrel]],"0")</f>
        <v>66.099999999999994</v>
      </c>
      <c r="X170" s="40">
        <f>Fact_Table[[#This Row],[Capacity_BPD]]*Fact_Table[[#This Row],[cost per barrel]]</f>
        <v>44893467.499999993</v>
      </c>
    </row>
    <row r="171" spans="1:24" x14ac:dyDescent="0.35">
      <c r="A171" t="s">
        <v>35</v>
      </c>
      <c r="B171" t="s">
        <v>40</v>
      </c>
      <c r="C171" t="s">
        <v>48</v>
      </c>
      <c r="D171" s="5">
        <v>177615</v>
      </c>
      <c r="E171" s="5">
        <v>2007</v>
      </c>
      <c r="F171" s="5">
        <v>1245</v>
      </c>
      <c r="G171" s="3" t="s">
        <v>16</v>
      </c>
      <c r="H171" s="4">
        <v>22.98</v>
      </c>
      <c r="I171" s="4">
        <v>9.76</v>
      </c>
      <c r="J171" s="5">
        <v>70788</v>
      </c>
      <c r="K171" s="5">
        <v>70150</v>
      </c>
      <c r="L171" s="5">
        <v>36676</v>
      </c>
      <c r="M171" s="3" t="s">
        <v>38</v>
      </c>
      <c r="N171" s="10">
        <v>17316</v>
      </c>
      <c r="O171" s="12">
        <f>(Fact_Table[[#This Row],[Petrol_Output_BPD]]+Fact_Table[[#This Row],[Diesel_Output_BPD]]+Fact_Table[[#This Row],[Gas_Output_BPD]])/Fact_Table[[#This Row],[No_of_Employees]]</f>
        <v>142.66184738955823</v>
      </c>
      <c r="P171" s="2" t="str">
        <f>IF(Fact_Table[[#This Row],[0/P Producyivity/Day]]&gt;=1000,"High",IF(Fact_Table[[#This Row],[0/P Producyivity/Day]]&gt;=500,"Medium","Low"))</f>
        <v>Low</v>
      </c>
      <c r="Q171" s="10">
        <f>Fact_Table[[#This Row],[Capacity_BPD]]/Fact_Table[[#This Row],[Average_Salary_AED]]</f>
        <v>10.257276507276508</v>
      </c>
      <c r="R171" s="15">
        <f>(Fact_Table[[#This Row],[Petrol_Output_BPD]]/Fact_Table[[#This Row],[Capacity_BPD]])</f>
        <v>0.39854741998142051</v>
      </c>
      <c r="S171" s="15">
        <f>Fact_Table[[#This Row],[Diesel_Output_BPD]]/Fact_Table[[#This Row],[Capacity_BPD]]</f>
        <v>0.39495538102074712</v>
      </c>
      <c r="T171" s="15">
        <f>Fact_Table[[#This Row],[Gas_Output_BPD]]/Fact_Table[[#This Row],[Capacity_BPD]]</f>
        <v>0.20649156884272163</v>
      </c>
      <c r="U171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71" s="8">
        <f ca="1">YEAR(TODAY())-Fact_Table[[#This Row],[Commissioned_Year]]</f>
        <v>18</v>
      </c>
      <c r="W171" s="40" cm="1">
        <f t="array" ref="W171">_xlfn.XLOOKUP(Fact_Table[[#This Row],[Commissioned_Year]],cost_table[[#All],[Year]],cost_table[[#All],[Average_Crude_Price_USD_per_Barrel]],"0")</f>
        <v>24.4</v>
      </c>
      <c r="X171" s="40">
        <f>Fact_Table[[#This Row],[Capacity_BPD]]*Fact_Table[[#This Row],[cost per barrel]]</f>
        <v>4333806</v>
      </c>
    </row>
    <row r="172" spans="1:24" x14ac:dyDescent="0.35">
      <c r="A172" t="s">
        <v>35</v>
      </c>
      <c r="B172" t="s">
        <v>14</v>
      </c>
      <c r="C172" t="s">
        <v>47</v>
      </c>
      <c r="D172" s="5">
        <v>389707</v>
      </c>
      <c r="E172" s="5">
        <v>2012</v>
      </c>
      <c r="F172" s="5">
        <v>1559</v>
      </c>
      <c r="G172" s="3" t="s">
        <v>31</v>
      </c>
      <c r="H172" s="4">
        <v>2.29</v>
      </c>
      <c r="I172" s="4">
        <v>7.96</v>
      </c>
      <c r="J172" s="5">
        <v>170666</v>
      </c>
      <c r="K172" s="5">
        <v>174494</v>
      </c>
      <c r="L172" s="5">
        <v>44546</v>
      </c>
      <c r="M172" s="3" t="s">
        <v>29</v>
      </c>
      <c r="N172" s="10">
        <v>17994</v>
      </c>
      <c r="O172" s="12">
        <f>(Fact_Table[[#This Row],[Petrol_Output_BPD]]+Fact_Table[[#This Row],[Diesel_Output_BPD]]+Fact_Table[[#This Row],[Gas_Output_BPD]])/Fact_Table[[#This Row],[No_of_Employees]]</f>
        <v>249.97177677998718</v>
      </c>
      <c r="P172" s="2" t="str">
        <f>IF(Fact_Table[[#This Row],[0/P Producyivity/Day]]&gt;=1000,"High",IF(Fact_Table[[#This Row],[0/P Producyivity/Day]]&gt;=500,"Medium","Low"))</f>
        <v>Low</v>
      </c>
      <c r="Q172" s="10">
        <f>Fact_Table[[#This Row],[Capacity_BPD]]/Fact_Table[[#This Row],[Average_Salary_AED]]</f>
        <v>21.657608091586084</v>
      </c>
      <c r="R172" s="15">
        <f>(Fact_Table[[#This Row],[Petrol_Output_BPD]]/Fact_Table[[#This Row],[Capacity_BPD]])</f>
        <v>0.43793414026435246</v>
      </c>
      <c r="S172" s="15">
        <f>Fact_Table[[#This Row],[Diesel_Output_BPD]]/Fact_Table[[#This Row],[Capacity_BPD]]</f>
        <v>0.44775690454623601</v>
      </c>
      <c r="T172" s="15">
        <f>Fact_Table[[#This Row],[Gas_Output_BPD]]/Fact_Table[[#This Row],[Capacity_BPD]]</f>
        <v>0.11430638915903486</v>
      </c>
      <c r="U17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72" s="8">
        <f ca="1">YEAR(TODAY())-Fact_Table[[#This Row],[Commissioned_Year]]</f>
        <v>13</v>
      </c>
      <c r="W172" s="40" cm="1">
        <f t="array" ref="W172">_xlfn.XLOOKUP(Fact_Table[[#This Row],[Commissioned_Year]],cost_table[[#All],[Year]],cost_table[[#All],[Average_Crude_Price_USD_per_Barrel]],"0")</f>
        <v>72.400000000000006</v>
      </c>
      <c r="X172" s="40">
        <f>Fact_Table[[#This Row],[Capacity_BPD]]*Fact_Table[[#This Row],[cost per barrel]]</f>
        <v>28214786.800000001</v>
      </c>
    </row>
    <row r="173" spans="1:24" x14ac:dyDescent="0.35">
      <c r="A173" t="s">
        <v>60</v>
      </c>
      <c r="B173" t="s">
        <v>32</v>
      </c>
      <c r="C173" t="s">
        <v>20</v>
      </c>
      <c r="D173" s="5">
        <v>515060</v>
      </c>
      <c r="E173" s="5">
        <v>1978</v>
      </c>
      <c r="F173" s="5">
        <v>1577</v>
      </c>
      <c r="G173" s="3" t="s">
        <v>16</v>
      </c>
      <c r="H173" s="4">
        <v>2.52</v>
      </c>
      <c r="I173" s="4">
        <v>9.1999999999999993</v>
      </c>
      <c r="J173" s="5">
        <v>211678</v>
      </c>
      <c r="K173" s="5">
        <v>177906</v>
      </c>
      <c r="L173" s="5">
        <v>125475</v>
      </c>
      <c r="M173" s="3" t="s">
        <v>38</v>
      </c>
      <c r="N173" s="10">
        <v>11512</v>
      </c>
      <c r="O173" s="12">
        <f>(Fact_Table[[#This Row],[Petrol_Output_BPD]]+Fact_Table[[#This Row],[Diesel_Output_BPD]]+Fact_Table[[#This Row],[Gas_Output_BPD]])/Fact_Table[[#This Row],[No_of_Employees]]</f>
        <v>326.60684844641725</v>
      </c>
      <c r="P173" s="2" t="str">
        <f>IF(Fact_Table[[#This Row],[0/P Producyivity/Day]]&gt;=1000,"High",IF(Fact_Table[[#This Row],[0/P Producyivity/Day]]&gt;=500,"Medium","Low"))</f>
        <v>Low</v>
      </c>
      <c r="Q173" s="10">
        <f>Fact_Table[[#This Row],[Capacity_BPD]]/Fact_Table[[#This Row],[Average_Salary_AED]]</f>
        <v>44.741139680333568</v>
      </c>
      <c r="R173" s="15">
        <f>(Fact_Table[[#This Row],[Petrol_Output_BPD]]/Fact_Table[[#This Row],[Capacity_BPD]])</f>
        <v>0.41097736186075406</v>
      </c>
      <c r="S173" s="15">
        <f>Fact_Table[[#This Row],[Diesel_Output_BPD]]/Fact_Table[[#This Row],[Capacity_BPD]]</f>
        <v>0.34540830194540439</v>
      </c>
      <c r="T173" s="15">
        <f>Fact_Table[[#This Row],[Gas_Output_BPD]]/Fact_Table[[#This Row],[Capacity_BPD]]</f>
        <v>0.24361239467246534</v>
      </c>
      <c r="U173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73" s="8">
        <f ca="1">YEAR(TODAY())-Fact_Table[[#This Row],[Commissioned_Year]]</f>
        <v>47</v>
      </c>
      <c r="W173" s="40" cm="1">
        <f t="array" ref="W173">_xlfn.XLOOKUP(Fact_Table[[#This Row],[Commissioned_Year]],cost_table[[#All],[Year]],cost_table[[#All],[Average_Crude_Price_USD_per_Barrel]],"0")</f>
        <v>13</v>
      </c>
      <c r="X173" s="40">
        <f>Fact_Table[[#This Row],[Capacity_BPD]]*Fact_Table[[#This Row],[cost per barrel]]</f>
        <v>6695780</v>
      </c>
    </row>
    <row r="174" spans="1:24" x14ac:dyDescent="0.35">
      <c r="A174" t="s">
        <v>36</v>
      </c>
      <c r="B174" t="s">
        <v>41</v>
      </c>
      <c r="C174" t="s">
        <v>33</v>
      </c>
      <c r="D174" s="5">
        <v>548014</v>
      </c>
      <c r="E174" s="5">
        <v>2007</v>
      </c>
      <c r="F174" s="5">
        <v>1683</v>
      </c>
      <c r="G174" s="3" t="s">
        <v>31</v>
      </c>
      <c r="H174" s="4">
        <v>20.84</v>
      </c>
      <c r="I174" s="4">
        <v>8.77</v>
      </c>
      <c r="J174" s="5">
        <v>207793</v>
      </c>
      <c r="K174" s="5">
        <v>248477</v>
      </c>
      <c r="L174" s="5">
        <v>91743</v>
      </c>
      <c r="M174" s="3" t="s">
        <v>34</v>
      </c>
      <c r="N174" s="10">
        <v>19883</v>
      </c>
      <c r="O174" s="12">
        <f>(Fact_Table[[#This Row],[Petrol_Output_BPD]]+Fact_Table[[#This Row],[Diesel_Output_BPD]]+Fact_Table[[#This Row],[Gas_Output_BPD]])/Fact_Table[[#This Row],[No_of_Employees]]</f>
        <v>325.61675579322639</v>
      </c>
      <c r="P174" s="2" t="str">
        <f>IF(Fact_Table[[#This Row],[0/P Producyivity/Day]]&gt;=1000,"High",IF(Fact_Table[[#This Row],[0/P Producyivity/Day]]&gt;=500,"Medium","Low"))</f>
        <v>Low</v>
      </c>
      <c r="Q174" s="10">
        <f>Fact_Table[[#This Row],[Capacity_BPD]]/Fact_Table[[#This Row],[Average_Salary_AED]]</f>
        <v>27.561937333400394</v>
      </c>
      <c r="R174" s="15">
        <f>(Fact_Table[[#This Row],[Petrol_Output_BPD]]/Fact_Table[[#This Row],[Capacity_BPD]])</f>
        <v>0.37917461962650589</v>
      </c>
      <c r="S174" s="15">
        <f>Fact_Table[[#This Row],[Diesel_Output_BPD]]/Fact_Table[[#This Row],[Capacity_BPD]]</f>
        <v>0.45341359892265526</v>
      </c>
      <c r="T174" s="15">
        <f>Fact_Table[[#This Row],[Gas_Output_BPD]]/Fact_Table[[#This Row],[Capacity_BPD]]</f>
        <v>0.16740995667993883</v>
      </c>
      <c r="U174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74" s="8">
        <f ca="1">YEAR(TODAY())-Fact_Table[[#This Row],[Commissioned_Year]]</f>
        <v>18</v>
      </c>
      <c r="W174" s="40" cm="1">
        <f t="array" ref="W174">_xlfn.XLOOKUP(Fact_Table[[#This Row],[Commissioned_Year]],cost_table[[#All],[Year]],cost_table[[#All],[Average_Crude_Price_USD_per_Barrel]],"0")</f>
        <v>24.4</v>
      </c>
      <c r="X174" s="40">
        <f>Fact_Table[[#This Row],[Capacity_BPD]]*Fact_Table[[#This Row],[cost per barrel]]</f>
        <v>13371541.6</v>
      </c>
    </row>
    <row r="175" spans="1:24" x14ac:dyDescent="0.35">
      <c r="A175" t="s">
        <v>37</v>
      </c>
      <c r="B175" t="s">
        <v>14</v>
      </c>
      <c r="C175" t="s">
        <v>47</v>
      </c>
      <c r="D175" s="5">
        <v>852677</v>
      </c>
      <c r="E175" s="5">
        <v>2018</v>
      </c>
      <c r="F175" s="5">
        <v>1940</v>
      </c>
      <c r="G175" s="3" t="s">
        <v>16</v>
      </c>
      <c r="H175" s="4">
        <v>32.04</v>
      </c>
      <c r="I175" s="4">
        <v>9.52</v>
      </c>
      <c r="J175" s="5">
        <v>292626</v>
      </c>
      <c r="K175" s="5">
        <v>379579</v>
      </c>
      <c r="L175" s="5">
        <v>180471</v>
      </c>
      <c r="M175" s="3" t="s">
        <v>34</v>
      </c>
      <c r="N175" s="10">
        <v>15543</v>
      </c>
      <c r="O175" s="12">
        <f>(Fact_Table[[#This Row],[Petrol_Output_BPD]]+Fact_Table[[#This Row],[Diesel_Output_BPD]]+Fact_Table[[#This Row],[Gas_Output_BPD]])/Fact_Table[[#This Row],[No_of_Employees]]</f>
        <v>439.52371134020621</v>
      </c>
      <c r="P175" s="2" t="str">
        <f>IF(Fact_Table[[#This Row],[0/P Producyivity/Day]]&gt;=1000,"High",IF(Fact_Table[[#This Row],[0/P Producyivity/Day]]&gt;=500,"Medium","Low"))</f>
        <v>Low</v>
      </c>
      <c r="Q175" s="10">
        <f>Fact_Table[[#This Row],[Capacity_BPD]]/Fact_Table[[#This Row],[Average_Salary_AED]]</f>
        <v>54.85922923502541</v>
      </c>
      <c r="R175" s="15">
        <f>(Fact_Table[[#This Row],[Petrol_Output_BPD]]/Fact_Table[[#This Row],[Capacity_BPD]])</f>
        <v>0.34318505131485899</v>
      </c>
      <c r="S175" s="15">
        <f>Fact_Table[[#This Row],[Diesel_Output_BPD]]/Fact_Table[[#This Row],[Capacity_BPD]]</f>
        <v>0.44516153244429019</v>
      </c>
      <c r="T175" s="15">
        <f>Fact_Table[[#This Row],[Gas_Output_BPD]]/Fact_Table[[#This Row],[Capacity_BPD]]</f>
        <v>0.21165224346382042</v>
      </c>
      <c r="U175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75" s="8">
        <f ca="1">YEAR(TODAY())-Fact_Table[[#This Row],[Commissioned_Year]]</f>
        <v>7</v>
      </c>
      <c r="W175" s="40" cm="1">
        <f t="array" ref="W175">_xlfn.XLOOKUP(Fact_Table[[#This Row],[Commissioned_Year]],cost_table[[#All],[Year]],cost_table[[#All],[Average_Crude_Price_USD_per_Barrel]],"0")</f>
        <v>100.2</v>
      </c>
      <c r="X175" s="40">
        <f>Fact_Table[[#This Row],[Capacity_BPD]]*Fact_Table[[#This Row],[cost per barrel]]</f>
        <v>85438235.400000006</v>
      </c>
    </row>
    <row r="176" spans="1:24" x14ac:dyDescent="0.35">
      <c r="A176" t="s">
        <v>45</v>
      </c>
      <c r="B176" t="s">
        <v>25</v>
      </c>
      <c r="C176" t="s">
        <v>33</v>
      </c>
      <c r="D176" s="5">
        <v>362769</v>
      </c>
      <c r="E176" s="5">
        <v>2000</v>
      </c>
      <c r="F176" s="5">
        <v>1339</v>
      </c>
      <c r="G176" s="3" t="s">
        <v>21</v>
      </c>
      <c r="H176" s="4">
        <v>29.12</v>
      </c>
      <c r="I176" s="4">
        <v>6.2</v>
      </c>
      <c r="J176" s="5">
        <v>121672</v>
      </c>
      <c r="K176" s="5">
        <v>179474</v>
      </c>
      <c r="L176" s="5">
        <v>61621</v>
      </c>
      <c r="M176" s="3" t="s">
        <v>34</v>
      </c>
      <c r="N176" s="10">
        <v>19168</v>
      </c>
      <c r="O176" s="12">
        <f>(Fact_Table[[#This Row],[Petrol_Output_BPD]]+Fact_Table[[#This Row],[Diesel_Output_BPD]]+Fact_Table[[#This Row],[Gas_Output_BPD]])/Fact_Table[[#This Row],[No_of_Employees]]</f>
        <v>270.92382374906646</v>
      </c>
      <c r="P176" s="2" t="str">
        <f>IF(Fact_Table[[#This Row],[0/P Producyivity/Day]]&gt;=1000,"High",IF(Fact_Table[[#This Row],[0/P Producyivity/Day]]&gt;=500,"Medium","Low"))</f>
        <v>Low</v>
      </c>
      <c r="Q176" s="10">
        <f>Fact_Table[[#This Row],[Capacity_BPD]]/Fact_Table[[#This Row],[Average_Salary_AED]]</f>
        <v>18.925761686143574</v>
      </c>
      <c r="R176" s="15">
        <f>(Fact_Table[[#This Row],[Petrol_Output_BPD]]/Fact_Table[[#This Row],[Capacity_BPD]])</f>
        <v>0.3353980080988177</v>
      </c>
      <c r="S176" s="15">
        <f>Fact_Table[[#This Row],[Diesel_Output_BPD]]/Fact_Table[[#This Row],[Capacity_BPD]]</f>
        <v>0.49473356323169843</v>
      </c>
      <c r="T176" s="15">
        <f>Fact_Table[[#This Row],[Gas_Output_BPD]]/Fact_Table[[#This Row],[Capacity_BPD]]</f>
        <v>0.16986291551924226</v>
      </c>
      <c r="U17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76" s="8">
        <f ca="1">YEAR(TODAY())-Fact_Table[[#This Row],[Commissioned_Year]]</f>
        <v>25</v>
      </c>
      <c r="W176" s="40" cm="1">
        <f t="array" ref="W176">_xlfn.XLOOKUP(Fact_Table[[#This Row],[Commissioned_Year]],cost_table[[#All],[Year]],cost_table[[#All],[Average_Crude_Price_USD_per_Barrel]],"0")</f>
        <v>23.1</v>
      </c>
      <c r="X176" s="40">
        <f>Fact_Table[[#This Row],[Capacity_BPD]]*Fact_Table[[#This Row],[cost per barrel]]</f>
        <v>8379963.9000000004</v>
      </c>
    </row>
    <row r="177" spans="1:24" x14ac:dyDescent="0.35">
      <c r="A177" t="s">
        <v>30</v>
      </c>
      <c r="B177" t="s">
        <v>41</v>
      </c>
      <c r="C177" t="s">
        <v>47</v>
      </c>
      <c r="D177" s="5">
        <v>625432</v>
      </c>
      <c r="E177" s="5">
        <v>1976</v>
      </c>
      <c r="F177" s="5">
        <v>1799</v>
      </c>
      <c r="G177" s="3" t="s">
        <v>31</v>
      </c>
      <c r="H177" s="4">
        <v>32.549999999999997</v>
      </c>
      <c r="I177" s="4">
        <v>7</v>
      </c>
      <c r="J177" s="5">
        <v>259860</v>
      </c>
      <c r="K177" s="5">
        <v>260157</v>
      </c>
      <c r="L177" s="5">
        <v>105413</v>
      </c>
      <c r="M177" s="3" t="s">
        <v>23</v>
      </c>
      <c r="N177" s="10">
        <v>24818</v>
      </c>
      <c r="O177" s="12">
        <f>(Fact_Table[[#This Row],[Petrol_Output_BPD]]+Fact_Table[[#This Row],[Diesel_Output_BPD]]+Fact_Table[[#This Row],[Gas_Output_BPD]])/Fact_Table[[#This Row],[No_of_Employees]]</f>
        <v>347.65425236242356</v>
      </c>
      <c r="P177" s="2" t="str">
        <f>IF(Fact_Table[[#This Row],[0/P Producyivity/Day]]&gt;=1000,"High",IF(Fact_Table[[#This Row],[0/P Producyivity/Day]]&gt;=500,"Medium","Low"))</f>
        <v>Low</v>
      </c>
      <c r="Q177" s="10">
        <f>Fact_Table[[#This Row],[Capacity_BPD]]/Fact_Table[[#This Row],[Average_Salary_AED]]</f>
        <v>25.200741397372873</v>
      </c>
      <c r="R177" s="15">
        <f>(Fact_Table[[#This Row],[Petrol_Output_BPD]]/Fact_Table[[#This Row],[Capacity_BPD]])</f>
        <v>0.41548881413167221</v>
      </c>
      <c r="S177" s="15">
        <f>Fact_Table[[#This Row],[Diesel_Output_BPD]]/Fact_Table[[#This Row],[Capacity_BPD]]</f>
        <v>0.41596368590030569</v>
      </c>
      <c r="T177" s="15">
        <f>Fact_Table[[#This Row],[Gas_Output_BPD]]/Fact_Table[[#This Row],[Capacity_BPD]]</f>
        <v>0.16854430217833433</v>
      </c>
      <c r="U177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77" s="8">
        <f ca="1">YEAR(TODAY())-Fact_Table[[#This Row],[Commissioned_Year]]</f>
        <v>49</v>
      </c>
      <c r="W177" s="40" cm="1">
        <f t="array" ref="W177">_xlfn.XLOOKUP(Fact_Table[[#This Row],[Commissioned_Year]],cost_table[[#All],[Year]],cost_table[[#All],[Average_Crude_Price_USD_per_Barrel]],"0")</f>
        <v>11.2</v>
      </c>
      <c r="X177" s="40">
        <f>Fact_Table[[#This Row],[Capacity_BPD]]*Fact_Table[[#This Row],[cost per barrel]]</f>
        <v>7004838.3999999994</v>
      </c>
    </row>
    <row r="178" spans="1:24" x14ac:dyDescent="0.35">
      <c r="A178" t="s">
        <v>27</v>
      </c>
      <c r="B178" t="s">
        <v>32</v>
      </c>
      <c r="C178" t="s">
        <v>47</v>
      </c>
      <c r="D178" s="5">
        <v>732143</v>
      </c>
      <c r="E178" s="5">
        <v>2022</v>
      </c>
      <c r="F178" s="5">
        <v>1000</v>
      </c>
      <c r="G178" s="3" t="s">
        <v>28</v>
      </c>
      <c r="H178" s="4">
        <v>9.5500000000000007</v>
      </c>
      <c r="I178" s="4">
        <v>7.56</v>
      </c>
      <c r="J178" s="5">
        <v>243588</v>
      </c>
      <c r="K178" s="5">
        <v>284681</v>
      </c>
      <c r="L178" s="5">
        <v>203873</v>
      </c>
      <c r="M178" s="3" t="s">
        <v>23</v>
      </c>
      <c r="N178" s="10">
        <v>24872</v>
      </c>
      <c r="O178" s="12">
        <f>(Fact_Table[[#This Row],[Petrol_Output_BPD]]+Fact_Table[[#This Row],[Diesel_Output_BPD]]+Fact_Table[[#This Row],[Gas_Output_BPD]])/Fact_Table[[#This Row],[No_of_Employees]]</f>
        <v>732.14200000000005</v>
      </c>
      <c r="P178" s="2" t="str">
        <f>IF(Fact_Table[[#This Row],[0/P Producyivity/Day]]&gt;=1000,"High",IF(Fact_Table[[#This Row],[0/P Producyivity/Day]]&gt;=500,"Medium","Low"))</f>
        <v>Medium</v>
      </c>
      <c r="Q178" s="10">
        <f>Fact_Table[[#This Row],[Capacity_BPD]]/Fact_Table[[#This Row],[Average_Salary_AED]]</f>
        <v>29.436434544869734</v>
      </c>
      <c r="R178" s="15">
        <f>(Fact_Table[[#This Row],[Petrol_Output_BPD]]/Fact_Table[[#This Row],[Capacity_BPD]])</f>
        <v>0.33270549605746419</v>
      </c>
      <c r="S178" s="15">
        <f>Fact_Table[[#This Row],[Diesel_Output_BPD]]/Fact_Table[[#This Row],[Capacity_BPD]]</f>
        <v>0.38883250949609571</v>
      </c>
      <c r="T178" s="15">
        <f>Fact_Table[[#This Row],[Gas_Output_BPD]]/Fact_Table[[#This Row],[Capacity_BPD]]</f>
        <v>0.2784606285930481</v>
      </c>
      <c r="U17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78" s="8">
        <f ca="1">YEAR(TODAY())-Fact_Table[[#This Row],[Commissioned_Year]]</f>
        <v>3</v>
      </c>
      <c r="W178" s="40" cm="1">
        <f t="array" ref="W178">_xlfn.XLOOKUP(Fact_Table[[#This Row],[Commissioned_Year]],cost_table[[#All],[Year]],cost_table[[#All],[Average_Crude_Price_USD_per_Barrel]],"0")</f>
        <v>71.3</v>
      </c>
      <c r="X178" s="40">
        <f>Fact_Table[[#This Row],[Capacity_BPD]]*Fact_Table[[#This Row],[cost per barrel]]</f>
        <v>52201795.899999999</v>
      </c>
    </row>
    <row r="179" spans="1:24" x14ac:dyDescent="0.35">
      <c r="A179" t="s">
        <v>45</v>
      </c>
      <c r="B179" t="s">
        <v>19</v>
      </c>
      <c r="C179" t="s">
        <v>15</v>
      </c>
      <c r="D179" s="5">
        <v>583277</v>
      </c>
      <c r="E179" s="5">
        <v>2014</v>
      </c>
      <c r="F179" s="5">
        <v>2001</v>
      </c>
      <c r="G179" s="3" t="s">
        <v>21</v>
      </c>
      <c r="H179" s="4">
        <v>4.7699999999999996</v>
      </c>
      <c r="I179" s="4">
        <v>8.43</v>
      </c>
      <c r="J179" s="5">
        <v>175274</v>
      </c>
      <c r="K179" s="5">
        <v>259959</v>
      </c>
      <c r="L179" s="5">
        <v>148042</v>
      </c>
      <c r="M179" s="3" t="s">
        <v>34</v>
      </c>
      <c r="N179" s="10">
        <v>15012</v>
      </c>
      <c r="O179" s="12">
        <f>(Fact_Table[[#This Row],[Petrol_Output_BPD]]+Fact_Table[[#This Row],[Diesel_Output_BPD]]+Fact_Table[[#This Row],[Gas_Output_BPD]])/Fact_Table[[#This Row],[No_of_Employees]]</f>
        <v>291.49175412293852</v>
      </c>
      <c r="P179" s="2" t="str">
        <f>IF(Fact_Table[[#This Row],[0/P Producyivity/Day]]&gt;=1000,"High",IF(Fact_Table[[#This Row],[0/P Producyivity/Day]]&gt;=500,"Medium","Low"))</f>
        <v>Low</v>
      </c>
      <c r="Q179" s="10">
        <f>Fact_Table[[#This Row],[Capacity_BPD]]/Fact_Table[[#This Row],[Average_Salary_AED]]</f>
        <v>38.854050093258728</v>
      </c>
      <c r="R179" s="15">
        <f>(Fact_Table[[#This Row],[Petrol_Output_BPD]]/Fact_Table[[#This Row],[Capacity_BPD]])</f>
        <v>0.30049873387772874</v>
      </c>
      <c r="S179" s="15">
        <f>Fact_Table[[#This Row],[Diesel_Output_BPD]]/Fact_Table[[#This Row],[Capacity_BPD]]</f>
        <v>0.44568704063420983</v>
      </c>
      <c r="T179" s="15">
        <f>Fact_Table[[#This Row],[Gas_Output_BPD]]/Fact_Table[[#This Row],[Capacity_BPD]]</f>
        <v>0.25381079658549882</v>
      </c>
      <c r="U179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79" s="8">
        <f ca="1">YEAR(TODAY())-Fact_Table[[#This Row],[Commissioned_Year]]</f>
        <v>11</v>
      </c>
      <c r="W179" s="40" cm="1">
        <f t="array" ref="W179">_xlfn.XLOOKUP(Fact_Table[[#This Row],[Commissioned_Year]],cost_table[[#All],[Year]],cost_table[[#All],[Average_Crude_Price_USD_per_Barrel]],"0")</f>
        <v>61.9</v>
      </c>
      <c r="X179" s="40">
        <f>Fact_Table[[#This Row],[Capacity_BPD]]*Fact_Table[[#This Row],[cost per barrel]]</f>
        <v>36104846.299999997</v>
      </c>
    </row>
    <row r="180" spans="1:24" x14ac:dyDescent="0.35">
      <c r="A180" t="s">
        <v>60</v>
      </c>
      <c r="B180" t="s">
        <v>32</v>
      </c>
      <c r="C180" t="s">
        <v>15</v>
      </c>
      <c r="D180" s="5">
        <v>277404</v>
      </c>
      <c r="E180" s="5">
        <v>2023</v>
      </c>
      <c r="F180" s="5">
        <v>304</v>
      </c>
      <c r="G180" s="3" t="s">
        <v>28</v>
      </c>
      <c r="H180" s="4">
        <v>3</v>
      </c>
      <c r="I180" s="4">
        <v>8.6199999999999992</v>
      </c>
      <c r="J180" s="5">
        <v>100413</v>
      </c>
      <c r="K180" s="5">
        <v>127008</v>
      </c>
      <c r="L180" s="5">
        <v>49981</v>
      </c>
      <c r="M180" s="3" t="s">
        <v>17</v>
      </c>
      <c r="N180" s="10">
        <v>11585</v>
      </c>
      <c r="O180" s="12">
        <f>(Fact_Table[[#This Row],[Petrol_Output_BPD]]+Fact_Table[[#This Row],[Diesel_Output_BPD]]+Fact_Table[[#This Row],[Gas_Output_BPD]])/Fact_Table[[#This Row],[No_of_Employees]]</f>
        <v>912.50657894736844</v>
      </c>
      <c r="P180" s="2" t="str">
        <f>IF(Fact_Table[[#This Row],[0/P Producyivity/Day]]&gt;=1000,"High",IF(Fact_Table[[#This Row],[0/P Producyivity/Day]]&gt;=500,"Medium","Low"))</f>
        <v>Medium</v>
      </c>
      <c r="Q180" s="10">
        <f>Fact_Table[[#This Row],[Capacity_BPD]]/Fact_Table[[#This Row],[Average_Salary_AED]]</f>
        <v>23.945101424255501</v>
      </c>
      <c r="R180" s="15">
        <f>(Fact_Table[[#This Row],[Petrol_Output_BPD]]/Fact_Table[[#This Row],[Capacity_BPD]])</f>
        <v>0.36197387204222004</v>
      </c>
      <c r="S180" s="15">
        <f>Fact_Table[[#This Row],[Diesel_Output_BPD]]/Fact_Table[[#This Row],[Capacity_BPD]]</f>
        <v>0.45784487606523339</v>
      </c>
      <c r="T180" s="15">
        <f>Fact_Table[[#This Row],[Gas_Output_BPD]]/Fact_Table[[#This Row],[Capacity_BPD]]</f>
        <v>0.18017404219117245</v>
      </c>
      <c r="U180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80" s="8">
        <f ca="1">YEAR(TODAY())-Fact_Table[[#This Row],[Commissioned_Year]]</f>
        <v>2</v>
      </c>
      <c r="W180" s="40" cm="1">
        <f t="array" ref="W180">_xlfn.XLOOKUP(Fact_Table[[#This Row],[Commissioned_Year]],cost_table[[#All],[Year]],cost_table[[#All],[Average_Crude_Price_USD_per_Barrel]],"0")</f>
        <v>64.3</v>
      </c>
      <c r="X180" s="40">
        <f>Fact_Table[[#This Row],[Capacity_BPD]]*Fact_Table[[#This Row],[cost per barrel]]</f>
        <v>17837077.199999999</v>
      </c>
    </row>
    <row r="181" spans="1:24" x14ac:dyDescent="0.35">
      <c r="A181" t="s">
        <v>18</v>
      </c>
      <c r="B181" t="s">
        <v>32</v>
      </c>
      <c r="C181" t="s">
        <v>50</v>
      </c>
      <c r="D181" s="5">
        <v>377771</v>
      </c>
      <c r="E181" s="5">
        <v>2019</v>
      </c>
      <c r="F181" s="5">
        <v>2205</v>
      </c>
      <c r="G181" s="3" t="s">
        <v>21</v>
      </c>
      <c r="H181" s="4">
        <v>9.08</v>
      </c>
      <c r="I181" s="4">
        <v>9.49</v>
      </c>
      <c r="J181" s="5">
        <v>120964</v>
      </c>
      <c r="K181" s="5">
        <v>178841</v>
      </c>
      <c r="L181" s="5">
        <v>77964</v>
      </c>
      <c r="M181" s="3" t="s">
        <v>29</v>
      </c>
      <c r="N181" s="10">
        <v>11760</v>
      </c>
      <c r="O181" s="12">
        <f>(Fact_Table[[#This Row],[Petrol_Output_BPD]]+Fact_Table[[#This Row],[Diesel_Output_BPD]]+Fact_Table[[#This Row],[Gas_Output_BPD]])/Fact_Table[[#This Row],[No_of_Employees]]</f>
        <v>171.32380952380953</v>
      </c>
      <c r="P181" s="2" t="str">
        <f>IF(Fact_Table[[#This Row],[0/P Producyivity/Day]]&gt;=1000,"High",IF(Fact_Table[[#This Row],[0/P Producyivity/Day]]&gt;=500,"Medium","Low"))</f>
        <v>Low</v>
      </c>
      <c r="Q181" s="10">
        <f>Fact_Table[[#This Row],[Capacity_BPD]]/Fact_Table[[#This Row],[Average_Salary_AED]]</f>
        <v>32.1233843537415</v>
      </c>
      <c r="R181" s="15">
        <f>(Fact_Table[[#This Row],[Petrol_Output_BPD]]/Fact_Table[[#This Row],[Capacity_BPD]])</f>
        <v>0.32020456837607969</v>
      </c>
      <c r="S181" s="15">
        <f>Fact_Table[[#This Row],[Diesel_Output_BPD]]/Fact_Table[[#This Row],[Capacity_BPD]]</f>
        <v>0.47341114061164041</v>
      </c>
      <c r="T181" s="15">
        <f>Fact_Table[[#This Row],[Gas_Output_BPD]]/Fact_Table[[#This Row],[Capacity_BPD]]</f>
        <v>0.20637899679964847</v>
      </c>
      <c r="U181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81" s="8">
        <f ca="1">YEAR(TODAY())-Fact_Table[[#This Row],[Commissioned_Year]]</f>
        <v>6</v>
      </c>
      <c r="W181" s="40" cm="1">
        <f t="array" ref="W181">_xlfn.XLOOKUP(Fact_Table[[#This Row],[Commissioned_Year]],cost_table[[#All],[Year]],cost_table[[#All],[Average_Crude_Price_USD_per_Barrel]],"0")</f>
        <v>52.3</v>
      </c>
      <c r="X181" s="40">
        <f>Fact_Table[[#This Row],[Capacity_BPD]]*Fact_Table[[#This Row],[cost per barrel]]</f>
        <v>19757423.300000001</v>
      </c>
    </row>
    <row r="182" spans="1:24" x14ac:dyDescent="0.35">
      <c r="A182" t="s">
        <v>24</v>
      </c>
      <c r="B182" t="s">
        <v>14</v>
      </c>
      <c r="C182" t="s">
        <v>47</v>
      </c>
      <c r="D182" s="5">
        <v>60563</v>
      </c>
      <c r="E182" s="5">
        <v>2015</v>
      </c>
      <c r="F182" s="5">
        <v>2290</v>
      </c>
      <c r="G182" s="3" t="s">
        <v>28</v>
      </c>
      <c r="H182" s="4">
        <v>22.46</v>
      </c>
      <c r="I182" s="4">
        <v>6.83</v>
      </c>
      <c r="J182" s="5">
        <v>23051</v>
      </c>
      <c r="K182" s="5">
        <v>29803</v>
      </c>
      <c r="L182" s="5">
        <v>7708</v>
      </c>
      <c r="M182" s="3" t="s">
        <v>34</v>
      </c>
      <c r="N182" s="10">
        <v>14565</v>
      </c>
      <c r="O182" s="12">
        <f>(Fact_Table[[#This Row],[Petrol_Output_BPD]]+Fact_Table[[#This Row],[Diesel_Output_BPD]]+Fact_Table[[#This Row],[Gas_Output_BPD]])/Fact_Table[[#This Row],[No_of_Employees]]</f>
        <v>26.446288209606987</v>
      </c>
      <c r="P182" s="2" t="str">
        <f>IF(Fact_Table[[#This Row],[0/P Producyivity/Day]]&gt;=1000,"High",IF(Fact_Table[[#This Row],[0/P Producyivity/Day]]&gt;=500,"Medium","Low"))</f>
        <v>Low</v>
      </c>
      <c r="Q182" s="10">
        <f>Fact_Table[[#This Row],[Capacity_BPD]]/Fact_Table[[#This Row],[Average_Salary_AED]]</f>
        <v>4.1581187778922075</v>
      </c>
      <c r="R182" s="15">
        <f>(Fact_Table[[#This Row],[Petrol_Output_BPD]]/Fact_Table[[#This Row],[Capacity_BPD]])</f>
        <v>0.3806119247725509</v>
      </c>
      <c r="S182" s="15">
        <f>Fact_Table[[#This Row],[Diesel_Output_BPD]]/Fact_Table[[#This Row],[Capacity_BPD]]</f>
        <v>0.4920991364364381</v>
      </c>
      <c r="T182" s="15">
        <f>Fact_Table[[#This Row],[Gas_Output_BPD]]/Fact_Table[[#This Row],[Capacity_BPD]]</f>
        <v>0.12727242705942574</v>
      </c>
      <c r="U18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82" s="8">
        <f ca="1">YEAR(TODAY())-Fact_Table[[#This Row],[Commissioned_Year]]</f>
        <v>10</v>
      </c>
      <c r="W182" s="40" cm="1">
        <f t="array" ref="W182">_xlfn.XLOOKUP(Fact_Table[[#This Row],[Commissioned_Year]],cost_table[[#All],[Year]],cost_table[[#All],[Average_Crude_Price_USD_per_Barrel]],"0")</f>
        <v>43.7</v>
      </c>
      <c r="X182" s="40">
        <f>Fact_Table[[#This Row],[Capacity_BPD]]*Fact_Table[[#This Row],[cost per barrel]]</f>
        <v>2646603.1</v>
      </c>
    </row>
    <row r="183" spans="1:24" x14ac:dyDescent="0.35">
      <c r="A183" t="s">
        <v>22</v>
      </c>
      <c r="B183" t="s">
        <v>19</v>
      </c>
      <c r="C183" t="s">
        <v>47</v>
      </c>
      <c r="D183" s="5">
        <v>342488</v>
      </c>
      <c r="E183" s="5">
        <v>2023</v>
      </c>
      <c r="F183" s="5">
        <v>2391</v>
      </c>
      <c r="G183" s="3" t="s">
        <v>28</v>
      </c>
      <c r="H183" s="4">
        <v>20.329999999999998</v>
      </c>
      <c r="I183" s="4">
        <v>6.51</v>
      </c>
      <c r="J183" s="5">
        <v>119330</v>
      </c>
      <c r="K183" s="5">
        <v>167911</v>
      </c>
      <c r="L183" s="5">
        <v>55246</v>
      </c>
      <c r="M183" s="3" t="s">
        <v>34</v>
      </c>
      <c r="N183" s="10">
        <v>13169</v>
      </c>
      <c r="O183" s="12">
        <f>(Fact_Table[[#This Row],[Petrol_Output_BPD]]+Fact_Table[[#This Row],[Diesel_Output_BPD]]+Fact_Table[[#This Row],[Gas_Output_BPD]])/Fact_Table[[#This Row],[No_of_Employees]]</f>
        <v>143.24006691760769</v>
      </c>
      <c r="P183" s="2" t="str">
        <f>IF(Fact_Table[[#This Row],[0/P Producyivity/Day]]&gt;=1000,"High",IF(Fact_Table[[#This Row],[0/P Producyivity/Day]]&gt;=500,"Medium","Low"))</f>
        <v>Low</v>
      </c>
      <c r="Q183" s="10">
        <f>Fact_Table[[#This Row],[Capacity_BPD]]/Fact_Table[[#This Row],[Average_Salary_AED]]</f>
        <v>26.007137975548638</v>
      </c>
      <c r="R183" s="15">
        <f>(Fact_Table[[#This Row],[Petrol_Output_BPD]]/Fact_Table[[#This Row],[Capacity_BPD]])</f>
        <v>0.34842096657401134</v>
      </c>
      <c r="S183" s="15">
        <f>Fact_Table[[#This Row],[Diesel_Output_BPD]]/Fact_Table[[#This Row],[Capacity_BPD]]</f>
        <v>0.49026827217303964</v>
      </c>
      <c r="T183" s="15">
        <f>Fact_Table[[#This Row],[Gas_Output_BPD]]/Fact_Table[[#This Row],[Capacity_BPD]]</f>
        <v>0.16130784144261989</v>
      </c>
      <c r="U183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83" s="8">
        <f ca="1">YEAR(TODAY())-Fact_Table[[#This Row],[Commissioned_Year]]</f>
        <v>2</v>
      </c>
      <c r="W183" s="40" cm="1">
        <f t="array" ref="W183">_xlfn.XLOOKUP(Fact_Table[[#This Row],[Commissioned_Year]],cost_table[[#All],[Year]],cost_table[[#All],[Average_Crude_Price_USD_per_Barrel]],"0")</f>
        <v>64.3</v>
      </c>
      <c r="X183" s="40">
        <f>Fact_Table[[#This Row],[Capacity_BPD]]*Fact_Table[[#This Row],[cost per barrel]]</f>
        <v>22021978.399999999</v>
      </c>
    </row>
    <row r="184" spans="1:24" x14ac:dyDescent="0.35">
      <c r="A184" t="s">
        <v>30</v>
      </c>
      <c r="B184" t="s">
        <v>41</v>
      </c>
      <c r="C184" t="s">
        <v>33</v>
      </c>
      <c r="D184" s="5">
        <v>882160</v>
      </c>
      <c r="E184" s="5">
        <v>2008</v>
      </c>
      <c r="F184" s="5">
        <v>906</v>
      </c>
      <c r="G184" s="3" t="s">
        <v>28</v>
      </c>
      <c r="H184" s="4">
        <v>29.5</v>
      </c>
      <c r="I184" s="4">
        <v>9.7200000000000006</v>
      </c>
      <c r="J184" s="5">
        <v>291680</v>
      </c>
      <c r="K184" s="5">
        <v>476337</v>
      </c>
      <c r="L184" s="5">
        <v>114141</v>
      </c>
      <c r="M184" s="3" t="s">
        <v>29</v>
      </c>
      <c r="N184" s="10">
        <v>23252</v>
      </c>
      <c r="O184" s="12">
        <f>(Fact_Table[[#This Row],[Petrol_Output_BPD]]+Fact_Table[[#This Row],[Diesel_Output_BPD]]+Fact_Table[[#This Row],[Gas_Output_BPD]])/Fact_Table[[#This Row],[No_of_Employees]]</f>
        <v>973.68432671081678</v>
      </c>
      <c r="P184" s="2" t="str">
        <f>IF(Fact_Table[[#This Row],[0/P Producyivity/Day]]&gt;=1000,"High",IF(Fact_Table[[#This Row],[0/P Producyivity/Day]]&gt;=500,"Medium","Low"))</f>
        <v>Medium</v>
      </c>
      <c r="Q184" s="10">
        <f>Fact_Table[[#This Row],[Capacity_BPD]]/Fact_Table[[#This Row],[Average_Salary_AED]]</f>
        <v>37.939102012730089</v>
      </c>
      <c r="R184" s="15">
        <f>(Fact_Table[[#This Row],[Petrol_Output_BPD]]/Fact_Table[[#This Row],[Capacity_BPD]])</f>
        <v>0.33064296726217468</v>
      </c>
      <c r="S184" s="15">
        <f>Fact_Table[[#This Row],[Diesel_Output_BPD]]/Fact_Table[[#This Row],[Capacity_BPD]]</f>
        <v>0.53996667271243315</v>
      </c>
      <c r="T184" s="15">
        <f>Fact_Table[[#This Row],[Gas_Output_BPD]]/Fact_Table[[#This Row],[Capacity_BPD]]</f>
        <v>0.1293880928629727</v>
      </c>
      <c r="U184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84" s="8">
        <f ca="1">YEAR(TODAY())-Fact_Table[[#This Row],[Commissioned_Year]]</f>
        <v>17</v>
      </c>
      <c r="W184" s="40" cm="1">
        <f t="array" ref="W184">_xlfn.XLOOKUP(Fact_Table[[#This Row],[Commissioned_Year]],cost_table[[#All],[Year]],cost_table[[#All],[Average_Crude_Price_USD_per_Barrel]],"0")</f>
        <v>31</v>
      </c>
      <c r="X184" s="40">
        <f>Fact_Table[[#This Row],[Capacity_BPD]]*Fact_Table[[#This Row],[cost per barrel]]</f>
        <v>27346960</v>
      </c>
    </row>
    <row r="185" spans="1:24" x14ac:dyDescent="0.35">
      <c r="A185" t="s">
        <v>45</v>
      </c>
      <c r="B185" t="s">
        <v>19</v>
      </c>
      <c r="C185" t="s">
        <v>50</v>
      </c>
      <c r="D185" s="5">
        <v>294002</v>
      </c>
      <c r="E185" s="5">
        <v>1981</v>
      </c>
      <c r="F185" s="5">
        <v>1555</v>
      </c>
      <c r="G185" s="3" t="s">
        <v>31</v>
      </c>
      <c r="H185" s="4">
        <v>13.38</v>
      </c>
      <c r="I185" s="4">
        <v>9.18</v>
      </c>
      <c r="J185" s="5">
        <v>105224</v>
      </c>
      <c r="K185" s="5">
        <v>142432</v>
      </c>
      <c r="L185" s="5">
        <v>46345</v>
      </c>
      <c r="M185" s="3" t="s">
        <v>34</v>
      </c>
      <c r="N185" s="10">
        <v>15374</v>
      </c>
      <c r="O185" s="12">
        <f>(Fact_Table[[#This Row],[Petrol_Output_BPD]]+Fact_Table[[#This Row],[Diesel_Output_BPD]]+Fact_Table[[#This Row],[Gas_Output_BPD]])/Fact_Table[[#This Row],[No_of_Employees]]</f>
        <v>189.06816720257234</v>
      </c>
      <c r="P185" s="2" t="str">
        <f>IF(Fact_Table[[#This Row],[0/P Producyivity/Day]]&gt;=1000,"High",IF(Fact_Table[[#This Row],[0/P Producyivity/Day]]&gt;=500,"Medium","Low"))</f>
        <v>Low</v>
      </c>
      <c r="Q185" s="10">
        <f>Fact_Table[[#This Row],[Capacity_BPD]]/Fact_Table[[#This Row],[Average_Salary_AED]]</f>
        <v>19.123325094315078</v>
      </c>
      <c r="R185" s="15">
        <f>(Fact_Table[[#This Row],[Petrol_Output_BPD]]/Fact_Table[[#This Row],[Capacity_BPD]])</f>
        <v>0.3579023271950531</v>
      </c>
      <c r="S185" s="15">
        <f>Fact_Table[[#This Row],[Diesel_Output_BPD]]/Fact_Table[[#This Row],[Capacity_BPD]]</f>
        <v>0.48445928939258914</v>
      </c>
      <c r="T185" s="15">
        <f>Fact_Table[[#This Row],[Gas_Output_BPD]]/Fact_Table[[#This Row],[Capacity_BPD]]</f>
        <v>0.15763498207495188</v>
      </c>
      <c r="U185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85" s="8">
        <f ca="1">YEAR(TODAY())-Fact_Table[[#This Row],[Commissioned_Year]]</f>
        <v>44</v>
      </c>
      <c r="W185" s="40" cm="1">
        <f t="array" ref="W185">_xlfn.XLOOKUP(Fact_Table[[#This Row],[Commissioned_Year]],cost_table[[#All],[Year]],cost_table[[#All],[Average_Crude_Price_USD_per_Barrel]],"0")</f>
        <v>35.700000000000003</v>
      </c>
      <c r="X185" s="40">
        <f>Fact_Table[[#This Row],[Capacity_BPD]]*Fact_Table[[#This Row],[cost per barrel]]</f>
        <v>10495871.4</v>
      </c>
    </row>
    <row r="186" spans="1:24" x14ac:dyDescent="0.35">
      <c r="A186" t="s">
        <v>35</v>
      </c>
      <c r="B186" t="s">
        <v>26</v>
      </c>
      <c r="C186" t="s">
        <v>20</v>
      </c>
      <c r="D186" s="5">
        <v>861287</v>
      </c>
      <c r="E186" s="5">
        <v>2023</v>
      </c>
      <c r="F186" s="5">
        <v>1950</v>
      </c>
      <c r="G186" s="3" t="s">
        <v>16</v>
      </c>
      <c r="H186" s="4">
        <v>24.98</v>
      </c>
      <c r="I186" s="4">
        <v>9.5</v>
      </c>
      <c r="J186" s="5">
        <v>311280</v>
      </c>
      <c r="K186" s="5">
        <v>403090</v>
      </c>
      <c r="L186" s="5">
        <v>146916</v>
      </c>
      <c r="M186" s="3" t="s">
        <v>38</v>
      </c>
      <c r="N186" s="10">
        <v>8744</v>
      </c>
      <c r="O186" s="12">
        <f>(Fact_Table[[#This Row],[Petrol_Output_BPD]]+Fact_Table[[#This Row],[Diesel_Output_BPD]]+Fact_Table[[#This Row],[Gas_Output_BPD]])/Fact_Table[[#This Row],[No_of_Employees]]</f>
        <v>441.68512820512819</v>
      </c>
      <c r="P186" s="2" t="str">
        <f>IF(Fact_Table[[#This Row],[0/P Producyivity/Day]]&gt;=1000,"High",IF(Fact_Table[[#This Row],[0/P Producyivity/Day]]&gt;=500,"Medium","Low"))</f>
        <v>Low</v>
      </c>
      <c r="Q186" s="10">
        <f>Fact_Table[[#This Row],[Capacity_BPD]]/Fact_Table[[#This Row],[Average_Salary_AED]]</f>
        <v>98.500343092406226</v>
      </c>
      <c r="R186" s="15">
        <f>(Fact_Table[[#This Row],[Petrol_Output_BPD]]/Fact_Table[[#This Row],[Capacity_BPD]])</f>
        <v>0.36141263016857333</v>
      </c>
      <c r="S186" s="15">
        <f>Fact_Table[[#This Row],[Diesel_Output_BPD]]/Fact_Table[[#This Row],[Capacity_BPD]]</f>
        <v>0.46800892153254375</v>
      </c>
      <c r="T186" s="15">
        <f>Fact_Table[[#This Row],[Gas_Output_BPD]]/Fact_Table[[#This Row],[Capacity_BPD]]</f>
        <v>0.17057728724571483</v>
      </c>
      <c r="U186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86" s="8">
        <f ca="1">YEAR(TODAY())-Fact_Table[[#This Row],[Commissioned_Year]]</f>
        <v>2</v>
      </c>
      <c r="W186" s="40" cm="1">
        <f t="array" ref="W186">_xlfn.XLOOKUP(Fact_Table[[#This Row],[Commissioned_Year]],cost_table[[#All],[Year]],cost_table[[#All],[Average_Crude_Price_USD_per_Barrel]],"0")</f>
        <v>64.3</v>
      </c>
      <c r="X186" s="40">
        <f>Fact_Table[[#This Row],[Capacity_BPD]]*Fact_Table[[#This Row],[cost per barrel]]</f>
        <v>55380754.099999994</v>
      </c>
    </row>
    <row r="187" spans="1:24" x14ac:dyDescent="0.35">
      <c r="A187" t="s">
        <v>37</v>
      </c>
      <c r="B187" t="s">
        <v>32</v>
      </c>
      <c r="C187" t="s">
        <v>50</v>
      </c>
      <c r="D187" s="5">
        <v>410914</v>
      </c>
      <c r="E187" s="5">
        <v>1977</v>
      </c>
      <c r="F187" s="5">
        <v>2121</v>
      </c>
      <c r="G187" s="3" t="s">
        <v>28</v>
      </c>
      <c r="H187" s="4">
        <v>18.45</v>
      </c>
      <c r="I187" s="4">
        <v>6.61</v>
      </c>
      <c r="J187" s="5">
        <v>150865</v>
      </c>
      <c r="K187" s="5">
        <v>183777</v>
      </c>
      <c r="L187" s="5">
        <v>76271</v>
      </c>
      <c r="M187" s="3" t="s">
        <v>23</v>
      </c>
      <c r="N187" s="10">
        <v>21439</v>
      </c>
      <c r="O187" s="12">
        <f>(Fact_Table[[#This Row],[Petrol_Output_BPD]]+Fact_Table[[#This Row],[Diesel_Output_BPD]]+Fact_Table[[#This Row],[Gas_Output_BPD]])/Fact_Table[[#This Row],[No_of_Employees]]</f>
        <v>193.73550212164074</v>
      </c>
      <c r="P187" s="2" t="str">
        <f>IF(Fact_Table[[#This Row],[0/P Producyivity/Day]]&gt;=1000,"High",IF(Fact_Table[[#This Row],[0/P Producyivity/Day]]&gt;=500,"Medium","Low"))</f>
        <v>Low</v>
      </c>
      <c r="Q187" s="10">
        <f>Fact_Table[[#This Row],[Capacity_BPD]]/Fact_Table[[#This Row],[Average_Salary_AED]]</f>
        <v>19.166658892672231</v>
      </c>
      <c r="R187" s="15">
        <f>(Fact_Table[[#This Row],[Petrol_Output_BPD]]/Fact_Table[[#This Row],[Capacity_BPD]])</f>
        <v>0.36714495003820752</v>
      </c>
      <c r="S187" s="15">
        <f>Fact_Table[[#This Row],[Diesel_Output_BPD]]/Fact_Table[[#This Row],[Capacity_BPD]]</f>
        <v>0.44723956837683798</v>
      </c>
      <c r="T187" s="15">
        <f>Fact_Table[[#This Row],[Gas_Output_BPD]]/Fact_Table[[#This Row],[Capacity_BPD]]</f>
        <v>0.18561304798570991</v>
      </c>
      <c r="U187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87" s="8">
        <f ca="1">YEAR(TODAY())-Fact_Table[[#This Row],[Commissioned_Year]]</f>
        <v>48</v>
      </c>
      <c r="W187" s="40" cm="1">
        <f t="array" ref="W187">_xlfn.XLOOKUP(Fact_Table[[#This Row],[Commissioned_Year]],cost_table[[#All],[Year]],cost_table[[#All],[Average_Crude_Price_USD_per_Barrel]],"0")</f>
        <v>12.8</v>
      </c>
      <c r="X187" s="40">
        <f>Fact_Table[[#This Row],[Capacity_BPD]]*Fact_Table[[#This Row],[cost per barrel]]</f>
        <v>5259699.2</v>
      </c>
    </row>
    <row r="188" spans="1:24" x14ac:dyDescent="0.35">
      <c r="A188" t="s">
        <v>18</v>
      </c>
      <c r="B188" t="s">
        <v>19</v>
      </c>
      <c r="C188" t="s">
        <v>51</v>
      </c>
      <c r="D188" s="5">
        <v>495182</v>
      </c>
      <c r="E188" s="5">
        <v>1990</v>
      </c>
      <c r="F188" s="5">
        <v>2197</v>
      </c>
      <c r="G188" s="3" t="s">
        <v>28</v>
      </c>
      <c r="H188" s="4">
        <v>2.95</v>
      </c>
      <c r="I188" s="4">
        <v>5.5</v>
      </c>
      <c r="J188" s="5">
        <v>197826</v>
      </c>
      <c r="K188" s="5">
        <v>176550</v>
      </c>
      <c r="L188" s="5">
        <v>120804</v>
      </c>
      <c r="M188" s="3" t="s">
        <v>38</v>
      </c>
      <c r="N188" s="10">
        <v>24575</v>
      </c>
      <c r="O188" s="12">
        <f>(Fact_Table[[#This Row],[Petrol_Output_BPD]]+Fact_Table[[#This Row],[Diesel_Output_BPD]]+Fact_Table[[#This Row],[Gas_Output_BPD]])/Fact_Table[[#This Row],[No_of_Employees]]</f>
        <v>225.38916704597179</v>
      </c>
      <c r="P188" s="2" t="str">
        <f>IF(Fact_Table[[#This Row],[0/P Producyivity/Day]]&gt;=1000,"High",IF(Fact_Table[[#This Row],[0/P Producyivity/Day]]&gt;=500,"Medium","Low"))</f>
        <v>Low</v>
      </c>
      <c r="Q188" s="10">
        <f>Fact_Table[[#This Row],[Capacity_BPD]]/Fact_Table[[#This Row],[Average_Salary_AED]]</f>
        <v>20.149827060020346</v>
      </c>
      <c r="R188" s="15">
        <f>(Fact_Table[[#This Row],[Petrol_Output_BPD]]/Fact_Table[[#This Row],[Capacity_BPD]])</f>
        <v>0.39950159739247387</v>
      </c>
      <c r="S188" s="15">
        <f>Fact_Table[[#This Row],[Diesel_Output_BPD]]/Fact_Table[[#This Row],[Capacity_BPD]]</f>
        <v>0.35653557681822035</v>
      </c>
      <c r="T188" s="15">
        <f>Fact_Table[[#This Row],[Gas_Output_BPD]]/Fact_Table[[#This Row],[Capacity_BPD]]</f>
        <v>0.24395878687028202</v>
      </c>
      <c r="U18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88" s="8">
        <f ca="1">YEAR(TODAY())-Fact_Table[[#This Row],[Commissioned_Year]]</f>
        <v>35</v>
      </c>
      <c r="W188" s="40" cm="1">
        <f t="array" ref="W188">_xlfn.XLOOKUP(Fact_Table[[#This Row],[Commissioned_Year]],cost_table[[#All],[Year]],cost_table[[#All],[Average_Crude_Price_USD_per_Barrel]],"0")</f>
        <v>22.3</v>
      </c>
      <c r="X188" s="40">
        <f>Fact_Table[[#This Row],[Capacity_BPD]]*Fact_Table[[#This Row],[cost per barrel]]</f>
        <v>11042558.6</v>
      </c>
    </row>
    <row r="189" spans="1:24" x14ac:dyDescent="0.35">
      <c r="A189" t="s">
        <v>36</v>
      </c>
      <c r="B189" t="s">
        <v>32</v>
      </c>
      <c r="C189" t="s">
        <v>33</v>
      </c>
      <c r="D189" s="5">
        <v>477402</v>
      </c>
      <c r="E189" s="5">
        <v>1975</v>
      </c>
      <c r="F189" s="5">
        <v>1529</v>
      </c>
      <c r="G189" s="3" t="s">
        <v>16</v>
      </c>
      <c r="H189" s="4">
        <v>21.8</v>
      </c>
      <c r="I189" s="4">
        <v>8.56</v>
      </c>
      <c r="J189" s="5">
        <v>159665</v>
      </c>
      <c r="K189" s="5">
        <v>244109</v>
      </c>
      <c r="L189" s="5">
        <v>73627</v>
      </c>
      <c r="M189" s="3" t="s">
        <v>29</v>
      </c>
      <c r="N189" s="10">
        <v>13972</v>
      </c>
      <c r="O189" s="12">
        <f>(Fact_Table[[#This Row],[Petrol_Output_BPD]]+Fact_Table[[#This Row],[Diesel_Output_BPD]]+Fact_Table[[#This Row],[Gas_Output_BPD]])/Fact_Table[[#This Row],[No_of_Employees]]</f>
        <v>312.2308698495749</v>
      </c>
      <c r="P189" s="2" t="str">
        <f>IF(Fact_Table[[#This Row],[0/P Producyivity/Day]]&gt;=1000,"High",IF(Fact_Table[[#This Row],[0/P Producyivity/Day]]&gt;=500,"Medium","Low"))</f>
        <v>Low</v>
      </c>
      <c r="Q189" s="10">
        <f>Fact_Table[[#This Row],[Capacity_BPD]]/Fact_Table[[#This Row],[Average_Salary_AED]]</f>
        <v>34.168479816776411</v>
      </c>
      <c r="R189" s="15">
        <f>(Fact_Table[[#This Row],[Petrol_Output_BPD]]/Fact_Table[[#This Row],[Capacity_BPD]])</f>
        <v>0.33444560349558655</v>
      </c>
      <c r="S189" s="15">
        <f>Fact_Table[[#This Row],[Diesel_Output_BPD]]/Fact_Table[[#This Row],[Capacity_BPD]]</f>
        <v>0.51132797935492524</v>
      </c>
      <c r="T189" s="15">
        <f>Fact_Table[[#This Row],[Gas_Output_BPD]]/Fact_Table[[#This Row],[Capacity_BPD]]</f>
        <v>0.15422432247874956</v>
      </c>
      <c r="U189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89" s="8">
        <f ca="1">YEAR(TODAY())-Fact_Table[[#This Row],[Commissioned_Year]]</f>
        <v>50</v>
      </c>
      <c r="W189" s="40" cm="1">
        <f t="array" ref="W189">_xlfn.XLOOKUP(Fact_Table[[#This Row],[Commissioned_Year]],cost_table[[#All],[Year]],cost_table[[#All],[Average_Crude_Price_USD_per_Barrel]],"0")</f>
        <v>10.7</v>
      </c>
      <c r="X189" s="40">
        <f>Fact_Table[[#This Row],[Capacity_BPD]]*Fact_Table[[#This Row],[cost per barrel]]</f>
        <v>5108201.3999999994</v>
      </c>
    </row>
    <row r="190" spans="1:24" x14ac:dyDescent="0.35">
      <c r="A190" t="s">
        <v>18</v>
      </c>
      <c r="B190" t="s">
        <v>40</v>
      </c>
      <c r="C190" t="s">
        <v>51</v>
      </c>
      <c r="D190" s="5">
        <v>177553</v>
      </c>
      <c r="E190" s="5">
        <v>1980</v>
      </c>
      <c r="F190" s="5">
        <v>885</v>
      </c>
      <c r="G190" s="3" t="s">
        <v>21</v>
      </c>
      <c r="H190" s="4">
        <v>25.38</v>
      </c>
      <c r="I190" s="4">
        <v>8.3000000000000007</v>
      </c>
      <c r="J190" s="5">
        <v>66878</v>
      </c>
      <c r="K190" s="5">
        <v>73588</v>
      </c>
      <c r="L190" s="5">
        <v>37086</v>
      </c>
      <c r="M190" s="3" t="s">
        <v>34</v>
      </c>
      <c r="N190" s="10">
        <v>11854</v>
      </c>
      <c r="O190" s="12">
        <f>(Fact_Table[[#This Row],[Petrol_Output_BPD]]+Fact_Table[[#This Row],[Diesel_Output_BPD]]+Fact_Table[[#This Row],[Gas_Output_BPD]])/Fact_Table[[#This Row],[No_of_Employees]]</f>
        <v>200.62372881355932</v>
      </c>
      <c r="P190" s="2" t="str">
        <f>IF(Fact_Table[[#This Row],[0/P Producyivity/Day]]&gt;=1000,"High",IF(Fact_Table[[#This Row],[0/P Producyivity/Day]]&gt;=500,"Medium","Low"))</f>
        <v>Low</v>
      </c>
      <c r="Q190" s="10">
        <f>Fact_Table[[#This Row],[Capacity_BPD]]/Fact_Table[[#This Row],[Average_Salary_AED]]</f>
        <v>14.978319554580732</v>
      </c>
      <c r="R190" s="15">
        <f>(Fact_Table[[#This Row],[Petrol_Output_BPD]]/Fact_Table[[#This Row],[Capacity_BPD]])</f>
        <v>0.37666499580406976</v>
      </c>
      <c r="S190" s="15">
        <f>Fact_Table[[#This Row],[Diesel_Output_BPD]]/Fact_Table[[#This Row],[Capacity_BPD]]</f>
        <v>0.41445652847318831</v>
      </c>
      <c r="T190" s="15">
        <f>Fact_Table[[#This Row],[Gas_Output_BPD]]/Fact_Table[[#This Row],[Capacity_BPD]]</f>
        <v>0.2088728436016288</v>
      </c>
      <c r="U190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90" s="8">
        <f ca="1">YEAR(TODAY())-Fact_Table[[#This Row],[Commissioned_Year]]</f>
        <v>45</v>
      </c>
      <c r="W190" s="40" cm="1">
        <f t="array" ref="W190">_xlfn.XLOOKUP(Fact_Table[[#This Row],[Commissioned_Year]],cost_table[[#All],[Year]],cost_table[[#All],[Average_Crude_Price_USD_per_Barrel]],"0")</f>
        <v>36.799999999999997</v>
      </c>
      <c r="X190" s="40">
        <f>Fact_Table[[#This Row],[Capacity_BPD]]*Fact_Table[[#This Row],[cost per barrel]]</f>
        <v>6533950.3999999994</v>
      </c>
    </row>
    <row r="191" spans="1:24" x14ac:dyDescent="0.35">
      <c r="A191" t="s">
        <v>18</v>
      </c>
      <c r="B191" t="s">
        <v>26</v>
      </c>
      <c r="C191" t="s">
        <v>50</v>
      </c>
      <c r="D191" s="5">
        <v>493955</v>
      </c>
      <c r="E191" s="5">
        <v>2015</v>
      </c>
      <c r="F191" s="5">
        <v>392</v>
      </c>
      <c r="G191" s="3" t="s">
        <v>28</v>
      </c>
      <c r="H191" s="4">
        <v>9.1999999999999993</v>
      </c>
      <c r="I191" s="4">
        <v>7.25</v>
      </c>
      <c r="J191" s="5">
        <v>192995</v>
      </c>
      <c r="K191" s="5">
        <v>230292</v>
      </c>
      <c r="L191" s="5">
        <v>70666</v>
      </c>
      <c r="M191" s="3" t="s">
        <v>17</v>
      </c>
      <c r="N191" s="10">
        <v>10205</v>
      </c>
      <c r="O191" s="12">
        <f>(Fact_Table[[#This Row],[Petrol_Output_BPD]]+Fact_Table[[#This Row],[Diesel_Output_BPD]]+Fact_Table[[#This Row],[Gas_Output_BPD]])/Fact_Table[[#This Row],[No_of_Employees]]</f>
        <v>1260.0841836734694</v>
      </c>
      <c r="P191" s="2" t="str">
        <f>IF(Fact_Table[[#This Row],[0/P Producyivity/Day]]&gt;=1000,"High",IF(Fact_Table[[#This Row],[0/P Producyivity/Day]]&gt;=500,"Medium","Low"))</f>
        <v>High</v>
      </c>
      <c r="Q191" s="10">
        <f>Fact_Table[[#This Row],[Capacity_BPD]]/Fact_Table[[#This Row],[Average_Salary_AED]]</f>
        <v>48.403233708966191</v>
      </c>
      <c r="R191" s="15">
        <f>(Fact_Table[[#This Row],[Petrol_Output_BPD]]/Fact_Table[[#This Row],[Capacity_BPD]])</f>
        <v>0.39071372898340945</v>
      </c>
      <c r="S191" s="15">
        <f>Fact_Table[[#This Row],[Diesel_Output_BPD]]/Fact_Table[[#This Row],[Capacity_BPD]]</f>
        <v>0.46622060714032654</v>
      </c>
      <c r="T191" s="15">
        <f>Fact_Table[[#This Row],[Gas_Output_BPD]]/Fact_Table[[#This Row],[Capacity_BPD]]</f>
        <v>0.14306161492443645</v>
      </c>
      <c r="U19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91" s="8">
        <f ca="1">YEAR(TODAY())-Fact_Table[[#This Row],[Commissioned_Year]]</f>
        <v>10</v>
      </c>
      <c r="W191" s="40" cm="1">
        <f t="array" ref="W191">_xlfn.XLOOKUP(Fact_Table[[#This Row],[Commissioned_Year]],cost_table[[#All],[Year]],cost_table[[#All],[Average_Crude_Price_USD_per_Barrel]],"0")</f>
        <v>43.7</v>
      </c>
      <c r="X191" s="40">
        <f>Fact_Table[[#This Row],[Capacity_BPD]]*Fact_Table[[#This Row],[cost per barrel]]</f>
        <v>21585833.5</v>
      </c>
    </row>
    <row r="192" spans="1:24" x14ac:dyDescent="0.35">
      <c r="A192" t="s">
        <v>45</v>
      </c>
      <c r="B192" t="s">
        <v>40</v>
      </c>
      <c r="C192" t="s">
        <v>46</v>
      </c>
      <c r="D192" s="5">
        <v>263646</v>
      </c>
      <c r="E192" s="5">
        <v>1979</v>
      </c>
      <c r="F192" s="5">
        <v>1197</v>
      </c>
      <c r="G192" s="3" t="s">
        <v>16</v>
      </c>
      <c r="H192" s="4">
        <v>30.37</v>
      </c>
      <c r="I192" s="4">
        <v>6.93</v>
      </c>
      <c r="J192" s="5">
        <v>92145</v>
      </c>
      <c r="K192" s="5">
        <v>133789</v>
      </c>
      <c r="L192" s="5">
        <v>37711</v>
      </c>
      <c r="M192" s="3" t="s">
        <v>38</v>
      </c>
      <c r="N192" s="10">
        <v>24598</v>
      </c>
      <c r="O192" s="12">
        <f>(Fact_Table[[#This Row],[Petrol_Output_BPD]]+Fact_Table[[#This Row],[Diesel_Output_BPD]]+Fact_Table[[#This Row],[Gas_Output_BPD]])/Fact_Table[[#This Row],[No_of_Employees]]</f>
        <v>220.25480367585629</v>
      </c>
      <c r="P192" s="2" t="str">
        <f>IF(Fact_Table[[#This Row],[0/P Producyivity/Day]]&gt;=1000,"High",IF(Fact_Table[[#This Row],[0/P Producyivity/Day]]&gt;=500,"Medium","Low"))</f>
        <v>Low</v>
      </c>
      <c r="Q192" s="10">
        <f>Fact_Table[[#This Row],[Capacity_BPD]]/Fact_Table[[#This Row],[Average_Salary_AED]]</f>
        <v>10.718188470607366</v>
      </c>
      <c r="R192" s="15">
        <f>(Fact_Table[[#This Row],[Petrol_Output_BPD]]/Fact_Table[[#This Row],[Capacity_BPD]])</f>
        <v>0.34950274231355682</v>
      </c>
      <c r="S192" s="15">
        <f>Fact_Table[[#This Row],[Diesel_Output_BPD]]/Fact_Table[[#This Row],[Capacity_BPD]]</f>
        <v>0.50745696881424329</v>
      </c>
      <c r="T192" s="15">
        <f>Fact_Table[[#This Row],[Gas_Output_BPD]]/Fact_Table[[#This Row],[Capacity_BPD]]</f>
        <v>0.14303649590739098</v>
      </c>
      <c r="U19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92" s="8">
        <f ca="1">YEAR(TODAY())-Fact_Table[[#This Row],[Commissioned_Year]]</f>
        <v>46</v>
      </c>
      <c r="W192" s="40" cm="1">
        <f t="array" ref="W192">_xlfn.XLOOKUP(Fact_Table[[#This Row],[Commissioned_Year]],cost_table[[#All],[Year]],cost_table[[#All],[Average_Crude_Price_USD_per_Barrel]],"0")</f>
        <v>31.6</v>
      </c>
      <c r="X192" s="40">
        <f>Fact_Table[[#This Row],[Capacity_BPD]]*Fact_Table[[#This Row],[cost per barrel]]</f>
        <v>8331213.6000000006</v>
      </c>
    </row>
    <row r="193" spans="1:24" x14ac:dyDescent="0.35">
      <c r="A193" t="s">
        <v>37</v>
      </c>
      <c r="B193" t="s">
        <v>25</v>
      </c>
      <c r="C193" t="s">
        <v>50</v>
      </c>
      <c r="D193" s="5">
        <v>139456</v>
      </c>
      <c r="E193" s="5">
        <v>1993</v>
      </c>
      <c r="F193" s="5">
        <v>2455</v>
      </c>
      <c r="G193" s="3" t="s">
        <v>16</v>
      </c>
      <c r="H193" s="4">
        <v>10.3</v>
      </c>
      <c r="I193" s="4">
        <v>9.48</v>
      </c>
      <c r="J193" s="5">
        <v>58965</v>
      </c>
      <c r="K193" s="5">
        <v>50630</v>
      </c>
      <c r="L193" s="5">
        <v>29859</v>
      </c>
      <c r="M193" s="3" t="s">
        <v>29</v>
      </c>
      <c r="N193" s="10">
        <v>8143</v>
      </c>
      <c r="O193" s="12">
        <f>(Fact_Table[[#This Row],[Petrol_Output_BPD]]+Fact_Table[[#This Row],[Diesel_Output_BPD]]+Fact_Table[[#This Row],[Gas_Output_BPD]])/Fact_Table[[#This Row],[No_of_Employees]]</f>
        <v>56.804073319755602</v>
      </c>
      <c r="P193" s="2" t="str">
        <f>IF(Fact_Table[[#This Row],[0/P Producyivity/Day]]&gt;=1000,"High",IF(Fact_Table[[#This Row],[0/P Producyivity/Day]]&gt;=500,"Medium","Low"))</f>
        <v>Low</v>
      </c>
      <c r="Q193" s="10">
        <f>Fact_Table[[#This Row],[Capacity_BPD]]/Fact_Table[[#This Row],[Average_Salary_AED]]</f>
        <v>17.125874984649393</v>
      </c>
      <c r="R193" s="15">
        <f>(Fact_Table[[#This Row],[Petrol_Output_BPD]]/Fact_Table[[#This Row],[Capacity_BPD]])</f>
        <v>0.42282153510784765</v>
      </c>
      <c r="S193" s="15">
        <f>Fact_Table[[#This Row],[Diesel_Output_BPD]]/Fact_Table[[#This Row],[Capacity_BPD]]</f>
        <v>0.36305357962368057</v>
      </c>
      <c r="T193" s="15">
        <f>Fact_Table[[#This Row],[Gas_Output_BPD]]/Fact_Table[[#This Row],[Capacity_BPD]]</f>
        <v>0.21411054382744379</v>
      </c>
      <c r="U193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93" s="8">
        <f ca="1">YEAR(TODAY())-Fact_Table[[#This Row],[Commissioned_Year]]</f>
        <v>32</v>
      </c>
      <c r="W193" s="40" cm="1">
        <f t="array" ref="W193">_xlfn.XLOOKUP(Fact_Table[[#This Row],[Commissioned_Year]],cost_table[[#All],[Year]],cost_table[[#All],[Average_Crude_Price_USD_per_Barrel]],"0")</f>
        <v>17</v>
      </c>
      <c r="X193" s="40">
        <f>Fact_Table[[#This Row],[Capacity_BPD]]*Fact_Table[[#This Row],[cost per barrel]]</f>
        <v>2370752</v>
      </c>
    </row>
    <row r="194" spans="1:24" x14ac:dyDescent="0.35">
      <c r="A194" t="s">
        <v>45</v>
      </c>
      <c r="B194" t="s">
        <v>40</v>
      </c>
      <c r="C194" t="s">
        <v>49</v>
      </c>
      <c r="D194" s="5">
        <v>836624</v>
      </c>
      <c r="E194" s="5">
        <v>1989</v>
      </c>
      <c r="F194" s="5">
        <v>2475</v>
      </c>
      <c r="G194" s="3" t="s">
        <v>31</v>
      </c>
      <c r="H194" s="4">
        <v>4.7</v>
      </c>
      <c r="I194" s="4">
        <v>9.16</v>
      </c>
      <c r="J194" s="5">
        <v>278665</v>
      </c>
      <c r="K194" s="5">
        <v>388346</v>
      </c>
      <c r="L194" s="5">
        <v>169611</v>
      </c>
      <c r="M194" s="3" t="s">
        <v>17</v>
      </c>
      <c r="N194" s="10">
        <v>10270</v>
      </c>
      <c r="O194" s="12">
        <f>(Fact_Table[[#This Row],[Petrol_Output_BPD]]+Fact_Table[[#This Row],[Diesel_Output_BPD]]+Fact_Table[[#This Row],[Gas_Output_BPD]])/Fact_Table[[#This Row],[No_of_Employees]]</f>
        <v>338.02909090909088</v>
      </c>
      <c r="P194" s="2" t="str">
        <f>IF(Fact_Table[[#This Row],[0/P Producyivity/Day]]&gt;=1000,"High",IF(Fact_Table[[#This Row],[0/P Producyivity/Day]]&gt;=500,"Medium","Low"))</f>
        <v>Low</v>
      </c>
      <c r="Q194" s="10">
        <f>Fact_Table[[#This Row],[Capacity_BPD]]/Fact_Table[[#This Row],[Average_Salary_AED]]</f>
        <v>81.462901655306723</v>
      </c>
      <c r="R194" s="15">
        <f>(Fact_Table[[#This Row],[Petrol_Output_BPD]]/Fact_Table[[#This Row],[Capacity_BPD]])</f>
        <v>0.33308272294364016</v>
      </c>
      <c r="S194" s="15">
        <f>Fact_Table[[#This Row],[Diesel_Output_BPD]]/Fact_Table[[#This Row],[Capacity_BPD]]</f>
        <v>0.46418223718181645</v>
      </c>
      <c r="T194" s="15">
        <f>Fact_Table[[#This Row],[Gas_Output_BPD]]/Fact_Table[[#This Row],[Capacity_BPD]]</f>
        <v>0.20273264931438734</v>
      </c>
      <c r="U194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94" s="8">
        <f ca="1">YEAR(TODAY())-Fact_Table[[#This Row],[Commissioned_Year]]</f>
        <v>36</v>
      </c>
      <c r="W194" s="40" cm="1">
        <f t="array" ref="W194">_xlfn.XLOOKUP(Fact_Table[[#This Row],[Commissioned_Year]],cost_table[[#All],[Year]],cost_table[[#All],[Average_Crude_Price_USD_per_Barrel]],"0")</f>
        <v>18.2</v>
      </c>
      <c r="X194" s="40">
        <f>Fact_Table[[#This Row],[Capacity_BPD]]*Fact_Table[[#This Row],[cost per barrel]]</f>
        <v>15226556.799999999</v>
      </c>
    </row>
    <row r="195" spans="1:24" x14ac:dyDescent="0.35">
      <c r="A195" t="s">
        <v>18</v>
      </c>
      <c r="B195" t="s">
        <v>14</v>
      </c>
      <c r="C195" t="s">
        <v>51</v>
      </c>
      <c r="D195" s="5">
        <v>274938</v>
      </c>
      <c r="E195" s="5">
        <v>1983</v>
      </c>
      <c r="F195" s="5">
        <v>996</v>
      </c>
      <c r="G195" s="3" t="s">
        <v>28</v>
      </c>
      <c r="H195" s="4">
        <v>24.18</v>
      </c>
      <c r="I195" s="4">
        <v>9.4499999999999993</v>
      </c>
      <c r="J195" s="5">
        <v>78808</v>
      </c>
      <c r="K195" s="5">
        <v>137071</v>
      </c>
      <c r="L195" s="5">
        <v>59057</v>
      </c>
      <c r="M195" s="3" t="s">
        <v>29</v>
      </c>
      <c r="N195" s="10">
        <v>17140</v>
      </c>
      <c r="O195" s="12">
        <f>(Fact_Table[[#This Row],[Petrol_Output_BPD]]+Fact_Table[[#This Row],[Diesel_Output_BPD]]+Fact_Table[[#This Row],[Gas_Output_BPD]])/Fact_Table[[#This Row],[No_of_Employees]]</f>
        <v>276.0401606425703</v>
      </c>
      <c r="P195" s="2" t="str">
        <f>IF(Fact_Table[[#This Row],[0/P Producyivity/Day]]&gt;=1000,"High",IF(Fact_Table[[#This Row],[0/P Producyivity/Day]]&gt;=500,"Medium","Low"))</f>
        <v>Low</v>
      </c>
      <c r="Q195" s="10">
        <f>Fact_Table[[#This Row],[Capacity_BPD]]/Fact_Table[[#This Row],[Average_Salary_AED]]</f>
        <v>16.040723453908985</v>
      </c>
      <c r="R195" s="15">
        <f>(Fact_Table[[#This Row],[Petrol_Output_BPD]]/Fact_Table[[#This Row],[Capacity_BPD]])</f>
        <v>0.28663916955822766</v>
      </c>
      <c r="S195" s="15">
        <f>Fact_Table[[#This Row],[Diesel_Output_BPD]]/Fact_Table[[#This Row],[Capacity_BPD]]</f>
        <v>0.4985524009049313</v>
      </c>
      <c r="T195" s="15">
        <f>Fact_Table[[#This Row],[Gas_Output_BPD]]/Fact_Table[[#This Row],[Capacity_BPD]]</f>
        <v>0.21480115516952913</v>
      </c>
      <c r="U195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95" s="8">
        <f ca="1">YEAR(TODAY())-Fact_Table[[#This Row],[Commissioned_Year]]</f>
        <v>42</v>
      </c>
      <c r="W195" s="40" cm="1">
        <f t="array" ref="W195">_xlfn.XLOOKUP(Fact_Table[[#This Row],[Commissioned_Year]],cost_table[[#All],[Year]],cost_table[[#All],[Average_Crude_Price_USD_per_Barrel]],"0")</f>
        <v>29</v>
      </c>
      <c r="X195" s="40">
        <f>Fact_Table[[#This Row],[Capacity_BPD]]*Fact_Table[[#This Row],[cost per barrel]]</f>
        <v>7973202</v>
      </c>
    </row>
    <row r="196" spans="1:24" x14ac:dyDescent="0.35">
      <c r="A196" t="s">
        <v>35</v>
      </c>
      <c r="B196" t="s">
        <v>25</v>
      </c>
      <c r="C196" t="s">
        <v>46</v>
      </c>
      <c r="D196" s="5">
        <v>516831</v>
      </c>
      <c r="E196" s="5">
        <v>1982</v>
      </c>
      <c r="F196" s="5">
        <v>1564</v>
      </c>
      <c r="G196" s="3" t="s">
        <v>28</v>
      </c>
      <c r="H196" s="4">
        <v>16.55</v>
      </c>
      <c r="I196" s="4">
        <v>9.6999999999999993</v>
      </c>
      <c r="J196" s="5">
        <v>191537</v>
      </c>
      <c r="K196" s="5">
        <v>221994</v>
      </c>
      <c r="L196" s="5">
        <v>103298</v>
      </c>
      <c r="M196" s="3" t="s">
        <v>17</v>
      </c>
      <c r="N196" s="10">
        <v>14101</v>
      </c>
      <c r="O196" s="12">
        <f>(Fact_Table[[#This Row],[Petrol_Output_BPD]]+Fact_Table[[#This Row],[Diesel_Output_BPD]]+Fact_Table[[#This Row],[Gas_Output_BPD]])/Fact_Table[[#This Row],[No_of_Employees]]</f>
        <v>330.45332480818416</v>
      </c>
      <c r="P196" s="2" t="str">
        <f>IF(Fact_Table[[#This Row],[0/P Producyivity/Day]]&gt;=1000,"High",IF(Fact_Table[[#This Row],[0/P Producyivity/Day]]&gt;=500,"Medium","Low"))</f>
        <v>Low</v>
      </c>
      <c r="Q196" s="10">
        <f>Fact_Table[[#This Row],[Capacity_BPD]]/Fact_Table[[#This Row],[Average_Salary_AED]]</f>
        <v>36.652081412665765</v>
      </c>
      <c r="R196" s="15">
        <f>(Fact_Table[[#This Row],[Petrol_Output_BPD]]/Fact_Table[[#This Row],[Capacity_BPD]])</f>
        <v>0.37059889983379479</v>
      </c>
      <c r="S196" s="15">
        <f>Fact_Table[[#This Row],[Diesel_Output_BPD]]/Fact_Table[[#This Row],[Capacity_BPD]]</f>
        <v>0.42952918845812266</v>
      </c>
      <c r="T196" s="15">
        <f>Fact_Table[[#This Row],[Gas_Output_BPD]]/Fact_Table[[#This Row],[Capacity_BPD]]</f>
        <v>0.19986804197116659</v>
      </c>
      <c r="U196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96" s="8">
        <f ca="1">YEAR(TODAY())-Fact_Table[[#This Row],[Commissioned_Year]]</f>
        <v>43</v>
      </c>
      <c r="W196" s="40" cm="1">
        <f t="array" ref="W196">_xlfn.XLOOKUP(Fact_Table[[#This Row],[Commissioned_Year]],cost_table[[#All],[Year]],cost_table[[#All],[Average_Crude_Price_USD_per_Barrel]],"0")</f>
        <v>32.799999999999997</v>
      </c>
      <c r="X196" s="40">
        <f>Fact_Table[[#This Row],[Capacity_BPD]]*Fact_Table[[#This Row],[cost per barrel]]</f>
        <v>16952056.799999997</v>
      </c>
    </row>
    <row r="197" spans="1:24" x14ac:dyDescent="0.35">
      <c r="A197" t="s">
        <v>45</v>
      </c>
      <c r="B197" t="s">
        <v>26</v>
      </c>
      <c r="C197" t="s">
        <v>48</v>
      </c>
      <c r="D197" s="5">
        <v>226670</v>
      </c>
      <c r="E197" s="5">
        <v>1981</v>
      </c>
      <c r="F197" s="5">
        <v>1676</v>
      </c>
      <c r="G197" s="3" t="s">
        <v>31</v>
      </c>
      <c r="H197" s="4">
        <v>14.37</v>
      </c>
      <c r="I197" s="4">
        <v>8.15</v>
      </c>
      <c r="J197" s="5">
        <v>68905</v>
      </c>
      <c r="K197" s="5">
        <v>99882</v>
      </c>
      <c r="L197" s="5">
        <v>57881</v>
      </c>
      <c r="M197" s="3" t="s">
        <v>23</v>
      </c>
      <c r="N197" s="10">
        <v>13595</v>
      </c>
      <c r="O197" s="12">
        <f>(Fact_Table[[#This Row],[Petrol_Output_BPD]]+Fact_Table[[#This Row],[Diesel_Output_BPD]]+Fact_Table[[#This Row],[Gas_Output_BPD]])/Fact_Table[[#This Row],[No_of_Employees]]</f>
        <v>135.2434367541766</v>
      </c>
      <c r="P197" s="2" t="str">
        <f>IF(Fact_Table[[#This Row],[0/P Producyivity/Day]]&gt;=1000,"High",IF(Fact_Table[[#This Row],[0/P Producyivity/Day]]&gt;=500,"Medium","Low"))</f>
        <v>Low</v>
      </c>
      <c r="Q197" s="10">
        <f>Fact_Table[[#This Row],[Capacity_BPD]]/Fact_Table[[#This Row],[Average_Salary_AED]]</f>
        <v>16.673041559396836</v>
      </c>
      <c r="R197" s="15">
        <f>(Fact_Table[[#This Row],[Petrol_Output_BPD]]/Fact_Table[[#This Row],[Capacity_BPD]])</f>
        <v>0.30398817664446109</v>
      </c>
      <c r="S197" s="15">
        <f>Fact_Table[[#This Row],[Diesel_Output_BPD]]/Fact_Table[[#This Row],[Capacity_BPD]]</f>
        <v>0.4406494022146733</v>
      </c>
      <c r="T197" s="15">
        <f>Fact_Table[[#This Row],[Gas_Output_BPD]]/Fact_Table[[#This Row],[Capacity_BPD]]</f>
        <v>0.25535359774120969</v>
      </c>
      <c r="U197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197" s="8">
        <f ca="1">YEAR(TODAY())-Fact_Table[[#This Row],[Commissioned_Year]]</f>
        <v>44</v>
      </c>
      <c r="W197" s="40" cm="1">
        <f t="array" ref="W197">_xlfn.XLOOKUP(Fact_Table[[#This Row],[Commissioned_Year]],cost_table[[#All],[Year]],cost_table[[#All],[Average_Crude_Price_USD_per_Barrel]],"0")</f>
        <v>35.700000000000003</v>
      </c>
      <c r="X197" s="40">
        <f>Fact_Table[[#This Row],[Capacity_BPD]]*Fact_Table[[#This Row],[cost per barrel]]</f>
        <v>8092119.0000000009</v>
      </c>
    </row>
    <row r="198" spans="1:24" x14ac:dyDescent="0.35">
      <c r="A198" t="s">
        <v>60</v>
      </c>
      <c r="B198" t="s">
        <v>25</v>
      </c>
      <c r="C198" t="s">
        <v>39</v>
      </c>
      <c r="D198" s="5">
        <v>896216</v>
      </c>
      <c r="E198" s="5">
        <v>2001</v>
      </c>
      <c r="F198" s="5">
        <v>2446</v>
      </c>
      <c r="G198" s="3" t="s">
        <v>31</v>
      </c>
      <c r="H198" s="4">
        <v>17.850000000000001</v>
      </c>
      <c r="I198" s="4">
        <v>5.0199999999999996</v>
      </c>
      <c r="J198" s="5">
        <v>255337</v>
      </c>
      <c r="K198" s="5">
        <v>397662</v>
      </c>
      <c r="L198" s="5">
        <v>243216</v>
      </c>
      <c r="M198" s="3" t="s">
        <v>17</v>
      </c>
      <c r="N198" s="10">
        <v>10845</v>
      </c>
      <c r="O198" s="12">
        <f>(Fact_Table[[#This Row],[Petrol_Output_BPD]]+Fact_Table[[#This Row],[Diesel_Output_BPD]]+Fact_Table[[#This Row],[Gas_Output_BPD]])/Fact_Table[[#This Row],[No_of_Employees]]</f>
        <v>366.40024529844646</v>
      </c>
      <c r="P198" s="2" t="str">
        <f>IF(Fact_Table[[#This Row],[0/P Producyivity/Day]]&gt;=1000,"High",IF(Fact_Table[[#This Row],[0/P Producyivity/Day]]&gt;=500,"Medium","Low"))</f>
        <v>Low</v>
      </c>
      <c r="Q198" s="10">
        <f>Fact_Table[[#This Row],[Capacity_BPD]]/Fact_Table[[#This Row],[Average_Salary_AED]]</f>
        <v>82.638635315813744</v>
      </c>
      <c r="R198" s="15">
        <f>(Fact_Table[[#This Row],[Petrol_Output_BPD]]/Fact_Table[[#This Row],[Capacity_BPD]])</f>
        <v>0.28490564774563276</v>
      </c>
      <c r="S198" s="15">
        <f>Fact_Table[[#This Row],[Diesel_Output_BPD]]/Fact_Table[[#This Row],[Capacity_BPD]]</f>
        <v>0.44371223008738964</v>
      </c>
      <c r="T198" s="15">
        <f>Fact_Table[[#This Row],[Gas_Output_BPD]]/Fact_Table[[#This Row],[Capacity_BPD]]</f>
        <v>0.2713810063645371</v>
      </c>
      <c r="U19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98" s="8">
        <f ca="1">YEAR(TODAY())-Fact_Table[[#This Row],[Commissioned_Year]]</f>
        <v>24</v>
      </c>
      <c r="W198" s="40" cm="1">
        <f t="array" ref="W198">_xlfn.XLOOKUP(Fact_Table[[#This Row],[Commissioned_Year]],cost_table[[#All],[Year]],cost_table[[#All],[Average_Crude_Price_USD_per_Barrel]],"0")</f>
        <v>28.4</v>
      </c>
      <c r="X198" s="40">
        <f>Fact_Table[[#This Row],[Capacity_BPD]]*Fact_Table[[#This Row],[cost per barrel]]</f>
        <v>25452534.399999999</v>
      </c>
    </row>
    <row r="199" spans="1:24" x14ac:dyDescent="0.35">
      <c r="A199" t="s">
        <v>60</v>
      </c>
      <c r="B199" t="s">
        <v>19</v>
      </c>
      <c r="C199" t="s">
        <v>51</v>
      </c>
      <c r="D199" s="5">
        <v>365528</v>
      </c>
      <c r="E199" s="5">
        <v>1975</v>
      </c>
      <c r="F199" s="5">
        <v>785</v>
      </c>
      <c r="G199" s="3" t="s">
        <v>28</v>
      </c>
      <c r="H199" s="4">
        <v>17.98</v>
      </c>
      <c r="I199" s="4">
        <v>5.38</v>
      </c>
      <c r="J199" s="5">
        <v>141592</v>
      </c>
      <c r="K199" s="5">
        <v>145975</v>
      </c>
      <c r="L199" s="5">
        <v>77959</v>
      </c>
      <c r="M199" s="3" t="s">
        <v>23</v>
      </c>
      <c r="N199" s="10">
        <v>20929</v>
      </c>
      <c r="O199" s="12">
        <f>(Fact_Table[[#This Row],[Petrol_Output_BPD]]+Fact_Table[[#This Row],[Diesel_Output_BPD]]+Fact_Table[[#This Row],[Gas_Output_BPD]])/Fact_Table[[#This Row],[No_of_Employees]]</f>
        <v>465.63821656050953</v>
      </c>
      <c r="P199" s="2" t="str">
        <f>IF(Fact_Table[[#This Row],[0/P Producyivity/Day]]&gt;=1000,"High",IF(Fact_Table[[#This Row],[0/P Producyivity/Day]]&gt;=500,"Medium","Low"))</f>
        <v>Low</v>
      </c>
      <c r="Q199" s="10">
        <f>Fact_Table[[#This Row],[Capacity_BPD]]/Fact_Table[[#This Row],[Average_Salary_AED]]</f>
        <v>17.465144058483443</v>
      </c>
      <c r="R199" s="15">
        <f>(Fact_Table[[#This Row],[Petrol_Output_BPD]]/Fact_Table[[#This Row],[Capacity_BPD]])</f>
        <v>0.38736293799654198</v>
      </c>
      <c r="S199" s="15">
        <f>Fact_Table[[#This Row],[Diesel_Output_BPD]]/Fact_Table[[#This Row],[Capacity_BPD]]</f>
        <v>0.39935381147271892</v>
      </c>
      <c r="T199" s="15">
        <f>Fact_Table[[#This Row],[Gas_Output_BPD]]/Fact_Table[[#This Row],[Capacity_BPD]]</f>
        <v>0.21327777899367489</v>
      </c>
      <c r="U199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199" s="8">
        <f ca="1">YEAR(TODAY())-Fact_Table[[#This Row],[Commissioned_Year]]</f>
        <v>50</v>
      </c>
      <c r="W199" s="40" cm="1">
        <f t="array" ref="W199">_xlfn.XLOOKUP(Fact_Table[[#This Row],[Commissioned_Year]],cost_table[[#All],[Year]],cost_table[[#All],[Average_Crude_Price_USD_per_Barrel]],"0")</f>
        <v>10.7</v>
      </c>
      <c r="X199" s="40">
        <f>Fact_Table[[#This Row],[Capacity_BPD]]*Fact_Table[[#This Row],[cost per barrel]]</f>
        <v>3911149.5999999996</v>
      </c>
    </row>
    <row r="200" spans="1:24" x14ac:dyDescent="0.35">
      <c r="A200" t="s">
        <v>37</v>
      </c>
      <c r="B200" t="s">
        <v>14</v>
      </c>
      <c r="C200" t="s">
        <v>20</v>
      </c>
      <c r="D200" s="5">
        <v>573577</v>
      </c>
      <c r="E200" s="5">
        <v>2010</v>
      </c>
      <c r="F200" s="5">
        <v>675</v>
      </c>
      <c r="G200" s="3" t="s">
        <v>28</v>
      </c>
      <c r="H200" s="4">
        <v>1.7</v>
      </c>
      <c r="I200" s="4">
        <v>5.44</v>
      </c>
      <c r="J200" s="5">
        <v>243242</v>
      </c>
      <c r="K200" s="5">
        <v>247930</v>
      </c>
      <c r="L200" s="5">
        <v>82404</v>
      </c>
      <c r="M200" s="3" t="s">
        <v>29</v>
      </c>
      <c r="N200" s="10">
        <v>21016</v>
      </c>
      <c r="O200" s="12">
        <f>(Fact_Table[[#This Row],[Petrol_Output_BPD]]+Fact_Table[[#This Row],[Diesel_Output_BPD]]+Fact_Table[[#This Row],[Gas_Output_BPD]])/Fact_Table[[#This Row],[No_of_Employees]]</f>
        <v>849.74222222222227</v>
      </c>
      <c r="P200" s="2" t="str">
        <f>IF(Fact_Table[[#This Row],[0/P Producyivity/Day]]&gt;=1000,"High",IF(Fact_Table[[#This Row],[0/P Producyivity/Day]]&gt;=500,"Medium","Low"))</f>
        <v>Medium</v>
      </c>
      <c r="Q200" s="10">
        <f>Fact_Table[[#This Row],[Capacity_BPD]]/Fact_Table[[#This Row],[Average_Salary_AED]]</f>
        <v>27.292396269508945</v>
      </c>
      <c r="R200" s="15">
        <f>(Fact_Table[[#This Row],[Petrol_Output_BPD]]/Fact_Table[[#This Row],[Capacity_BPD]])</f>
        <v>0.4240790687213748</v>
      </c>
      <c r="S200" s="15">
        <f>Fact_Table[[#This Row],[Diesel_Output_BPD]]/Fact_Table[[#This Row],[Capacity_BPD]]</f>
        <v>0.43225233926743922</v>
      </c>
      <c r="T200" s="15">
        <f>Fact_Table[[#This Row],[Gas_Output_BPD]]/Fact_Table[[#This Row],[Capacity_BPD]]</f>
        <v>0.14366684856610359</v>
      </c>
      <c r="U200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00" s="8">
        <f ca="1">YEAR(TODAY())-Fact_Table[[#This Row],[Commissioned_Year]]</f>
        <v>15</v>
      </c>
      <c r="W200" s="40" cm="1">
        <f t="array" ref="W200">_xlfn.XLOOKUP(Fact_Table[[#This Row],[Commissioned_Year]],cost_table[[#All],[Year]],cost_table[[#All],[Average_Crude_Price_USD_per_Barrel]],"0")</f>
        <v>56.6</v>
      </c>
      <c r="X200" s="40">
        <f>Fact_Table[[#This Row],[Capacity_BPD]]*Fact_Table[[#This Row],[cost per barrel]]</f>
        <v>32464458.199999999</v>
      </c>
    </row>
    <row r="201" spans="1:24" x14ac:dyDescent="0.35">
      <c r="A201" t="s">
        <v>30</v>
      </c>
      <c r="B201" t="s">
        <v>40</v>
      </c>
      <c r="C201" t="s">
        <v>47</v>
      </c>
      <c r="D201" s="5">
        <v>558004</v>
      </c>
      <c r="E201" s="5">
        <v>1986</v>
      </c>
      <c r="F201" s="5">
        <v>2369</v>
      </c>
      <c r="G201" s="3" t="s">
        <v>28</v>
      </c>
      <c r="H201" s="4">
        <v>30.06</v>
      </c>
      <c r="I201" s="4">
        <v>7.93</v>
      </c>
      <c r="J201" s="5">
        <v>190238</v>
      </c>
      <c r="K201" s="5">
        <v>264954</v>
      </c>
      <c r="L201" s="5">
        <v>102811</v>
      </c>
      <c r="M201" s="3" t="s">
        <v>17</v>
      </c>
      <c r="N201" s="10">
        <v>14264</v>
      </c>
      <c r="O201" s="12">
        <f>(Fact_Table[[#This Row],[Petrol_Output_BPD]]+Fact_Table[[#This Row],[Diesel_Output_BPD]]+Fact_Table[[#This Row],[Gas_Output_BPD]])/Fact_Table[[#This Row],[No_of_Employees]]</f>
        <v>235.54368932038835</v>
      </c>
      <c r="P201" s="2" t="str">
        <f>IF(Fact_Table[[#This Row],[0/P Producyivity/Day]]&gt;=1000,"High",IF(Fact_Table[[#This Row],[0/P Producyivity/Day]]&gt;=500,"Medium","Low"))</f>
        <v>Low</v>
      </c>
      <c r="Q201" s="10">
        <f>Fact_Table[[#This Row],[Capacity_BPD]]/Fact_Table[[#This Row],[Average_Salary_AED]]</f>
        <v>39.119742007851933</v>
      </c>
      <c r="R201" s="15">
        <f>(Fact_Table[[#This Row],[Petrol_Output_BPD]]/Fact_Table[[#This Row],[Capacity_BPD]])</f>
        <v>0.34092587149912906</v>
      </c>
      <c r="S201" s="15">
        <f>Fact_Table[[#This Row],[Diesel_Output_BPD]]/Fact_Table[[#This Row],[Capacity_BPD]]</f>
        <v>0.47482455322900913</v>
      </c>
      <c r="T201" s="15">
        <f>Fact_Table[[#This Row],[Gas_Output_BPD]]/Fact_Table[[#This Row],[Capacity_BPD]]</f>
        <v>0.18424778317001311</v>
      </c>
      <c r="U20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01" s="8">
        <f ca="1">YEAR(TODAY())-Fact_Table[[#This Row],[Commissioned_Year]]</f>
        <v>39</v>
      </c>
      <c r="W201" s="40" cm="1">
        <f t="array" ref="W201">_xlfn.XLOOKUP(Fact_Table[[#This Row],[Commissioned_Year]],cost_table[[#All],[Year]],cost_table[[#All],[Average_Crude_Price_USD_per_Barrel]],"0")</f>
        <v>14.4</v>
      </c>
      <c r="X201" s="40">
        <f>Fact_Table[[#This Row],[Capacity_BPD]]*Fact_Table[[#This Row],[cost per barrel]]</f>
        <v>8035257.6000000006</v>
      </c>
    </row>
    <row r="202" spans="1:24" x14ac:dyDescent="0.35">
      <c r="A202" t="s">
        <v>24</v>
      </c>
      <c r="B202" t="s">
        <v>32</v>
      </c>
      <c r="C202" t="s">
        <v>50</v>
      </c>
      <c r="D202" s="5">
        <v>629724</v>
      </c>
      <c r="E202" s="5">
        <v>2010</v>
      </c>
      <c r="F202" s="5">
        <v>2497</v>
      </c>
      <c r="G202" s="3" t="s">
        <v>16</v>
      </c>
      <c r="H202" s="4">
        <v>17.66</v>
      </c>
      <c r="I202" s="4">
        <v>5.95</v>
      </c>
      <c r="J202" s="5">
        <v>275933</v>
      </c>
      <c r="K202" s="5">
        <v>278330</v>
      </c>
      <c r="L202" s="5">
        <v>75459</v>
      </c>
      <c r="M202" s="3" t="s">
        <v>17</v>
      </c>
      <c r="N202" s="10">
        <v>20284</v>
      </c>
      <c r="O202" s="12">
        <f>(Fact_Table[[#This Row],[Petrol_Output_BPD]]+Fact_Table[[#This Row],[Diesel_Output_BPD]]+Fact_Table[[#This Row],[Gas_Output_BPD]])/Fact_Table[[#This Row],[No_of_Employees]]</f>
        <v>252.19142971565878</v>
      </c>
      <c r="P202" s="2" t="str">
        <f>IF(Fact_Table[[#This Row],[0/P Producyivity/Day]]&gt;=1000,"High",IF(Fact_Table[[#This Row],[0/P Producyivity/Day]]&gt;=500,"Medium","Low"))</f>
        <v>Low</v>
      </c>
      <c r="Q202" s="10">
        <f>Fact_Table[[#This Row],[Capacity_BPD]]/Fact_Table[[#This Row],[Average_Salary_AED]]</f>
        <v>31.045355945572865</v>
      </c>
      <c r="R202" s="15">
        <f>(Fact_Table[[#This Row],[Petrol_Output_BPD]]/Fact_Table[[#This Row],[Capacity_BPD]])</f>
        <v>0.43818085383437821</v>
      </c>
      <c r="S202" s="15">
        <f>Fact_Table[[#This Row],[Diesel_Output_BPD]]/Fact_Table[[#This Row],[Capacity_BPD]]</f>
        <v>0.44198728331777098</v>
      </c>
      <c r="T202" s="15">
        <f>Fact_Table[[#This Row],[Gas_Output_BPD]]/Fact_Table[[#This Row],[Capacity_BPD]]</f>
        <v>0.11982868685328811</v>
      </c>
      <c r="U20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02" s="8">
        <f ca="1">YEAR(TODAY())-Fact_Table[[#This Row],[Commissioned_Year]]</f>
        <v>15</v>
      </c>
      <c r="W202" s="40" cm="1">
        <f t="array" ref="W202">_xlfn.XLOOKUP(Fact_Table[[#This Row],[Commissioned_Year]],cost_table[[#All],[Year]],cost_table[[#All],[Average_Crude_Price_USD_per_Barrel]],"0")</f>
        <v>56.6</v>
      </c>
      <c r="X202" s="40">
        <f>Fact_Table[[#This Row],[Capacity_BPD]]*Fact_Table[[#This Row],[cost per barrel]]</f>
        <v>35642378.399999999</v>
      </c>
    </row>
    <row r="203" spans="1:24" x14ac:dyDescent="0.35">
      <c r="A203" t="s">
        <v>37</v>
      </c>
      <c r="B203" t="s">
        <v>19</v>
      </c>
      <c r="C203" t="s">
        <v>46</v>
      </c>
      <c r="D203" s="5">
        <v>516176</v>
      </c>
      <c r="E203" s="5">
        <v>1985</v>
      </c>
      <c r="F203" s="5">
        <v>2095</v>
      </c>
      <c r="G203" s="3" t="s">
        <v>21</v>
      </c>
      <c r="H203" s="4">
        <v>9.92</v>
      </c>
      <c r="I203" s="4">
        <v>5.76</v>
      </c>
      <c r="J203" s="5">
        <v>148755</v>
      </c>
      <c r="K203" s="5">
        <v>234525</v>
      </c>
      <c r="L203" s="5">
        <v>132895</v>
      </c>
      <c r="M203" s="3" t="s">
        <v>34</v>
      </c>
      <c r="N203" s="10">
        <v>21850</v>
      </c>
      <c r="O203" s="12">
        <f>(Fact_Table[[#This Row],[Petrol_Output_BPD]]+Fact_Table[[#This Row],[Diesel_Output_BPD]]+Fact_Table[[#This Row],[Gas_Output_BPD]])/Fact_Table[[#This Row],[No_of_Employees]]</f>
        <v>246.38424821002386</v>
      </c>
      <c r="P203" s="2" t="str">
        <f>IF(Fact_Table[[#This Row],[0/P Producyivity/Day]]&gt;=1000,"High",IF(Fact_Table[[#This Row],[0/P Producyivity/Day]]&gt;=500,"Medium","Low"))</f>
        <v>Low</v>
      </c>
      <c r="Q203" s="10">
        <f>Fact_Table[[#This Row],[Capacity_BPD]]/Fact_Table[[#This Row],[Average_Salary_AED]]</f>
        <v>23.623615560640733</v>
      </c>
      <c r="R203" s="15">
        <f>(Fact_Table[[#This Row],[Petrol_Output_BPD]]/Fact_Table[[#This Row],[Capacity_BPD]])</f>
        <v>0.28818658752053561</v>
      </c>
      <c r="S203" s="15">
        <f>Fact_Table[[#This Row],[Diesel_Output_BPD]]/Fact_Table[[#This Row],[Capacity_BPD]]</f>
        <v>0.45435084157341682</v>
      </c>
      <c r="T203" s="15">
        <f>Fact_Table[[#This Row],[Gas_Output_BPD]]/Fact_Table[[#This Row],[Capacity_BPD]]</f>
        <v>0.257460633582344</v>
      </c>
      <c r="U203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03" s="8">
        <f ca="1">YEAR(TODAY())-Fact_Table[[#This Row],[Commissioned_Year]]</f>
        <v>40</v>
      </c>
      <c r="W203" s="40" cm="1">
        <f t="array" ref="W203">_xlfn.XLOOKUP(Fact_Table[[#This Row],[Commissioned_Year]],cost_table[[#All],[Year]],cost_table[[#All],[Average_Crude_Price_USD_per_Barrel]],"0")</f>
        <v>26</v>
      </c>
      <c r="X203" s="40">
        <f>Fact_Table[[#This Row],[Capacity_BPD]]*Fact_Table[[#This Row],[cost per barrel]]</f>
        <v>13420576</v>
      </c>
    </row>
    <row r="204" spans="1:24" x14ac:dyDescent="0.35">
      <c r="A204" t="s">
        <v>37</v>
      </c>
      <c r="B204" t="s">
        <v>25</v>
      </c>
      <c r="C204" t="s">
        <v>47</v>
      </c>
      <c r="D204" s="5">
        <v>877922</v>
      </c>
      <c r="E204" s="5">
        <v>2003</v>
      </c>
      <c r="F204" s="5">
        <v>493</v>
      </c>
      <c r="G204" s="3" t="s">
        <v>31</v>
      </c>
      <c r="H204" s="4">
        <v>28.16</v>
      </c>
      <c r="I204" s="4">
        <v>9.18</v>
      </c>
      <c r="J204" s="5">
        <v>278869</v>
      </c>
      <c r="K204" s="5">
        <v>495270</v>
      </c>
      <c r="L204" s="5">
        <v>103782</v>
      </c>
      <c r="M204" s="3" t="s">
        <v>17</v>
      </c>
      <c r="N204" s="10">
        <v>24229</v>
      </c>
      <c r="O204" s="12">
        <f>(Fact_Table[[#This Row],[Petrol_Output_BPD]]+Fact_Table[[#This Row],[Diesel_Output_BPD]]+Fact_Table[[#This Row],[Gas_Output_BPD]])/Fact_Table[[#This Row],[No_of_Employees]]</f>
        <v>1780.7728194726167</v>
      </c>
      <c r="P204" s="2" t="str">
        <f>IF(Fact_Table[[#This Row],[0/P Producyivity/Day]]&gt;=1000,"High",IF(Fact_Table[[#This Row],[0/P Producyivity/Day]]&gt;=500,"Medium","Low"))</f>
        <v>High</v>
      </c>
      <c r="Q204" s="10">
        <f>Fact_Table[[#This Row],[Capacity_BPD]]/Fact_Table[[#This Row],[Average_Salary_AED]]</f>
        <v>36.234347269800651</v>
      </c>
      <c r="R204" s="15">
        <f>(Fact_Table[[#This Row],[Petrol_Output_BPD]]/Fact_Table[[#This Row],[Capacity_BPD]])</f>
        <v>0.31764667020532578</v>
      </c>
      <c r="S204" s="15">
        <f>Fact_Table[[#This Row],[Diesel_Output_BPD]]/Fact_Table[[#This Row],[Capacity_BPD]]</f>
        <v>0.56413895539694869</v>
      </c>
      <c r="T204" s="15">
        <f>Fact_Table[[#This Row],[Gas_Output_BPD]]/Fact_Table[[#This Row],[Capacity_BPD]]</f>
        <v>0.11821323534437</v>
      </c>
      <c r="U204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04" s="8">
        <f ca="1">YEAR(TODAY())-Fact_Table[[#This Row],[Commissioned_Year]]</f>
        <v>22</v>
      </c>
      <c r="W204" s="40" cm="1">
        <f t="array" ref="W204">_xlfn.XLOOKUP(Fact_Table[[#This Row],[Commissioned_Year]],cost_table[[#All],[Year]],cost_table[[#All],[Average_Crude_Price_USD_per_Barrel]],"0")</f>
        <v>17.2</v>
      </c>
      <c r="X204" s="40">
        <f>Fact_Table[[#This Row],[Capacity_BPD]]*Fact_Table[[#This Row],[cost per barrel]]</f>
        <v>15100258.399999999</v>
      </c>
    </row>
    <row r="205" spans="1:24" x14ac:dyDescent="0.35">
      <c r="A205" t="s">
        <v>36</v>
      </c>
      <c r="B205" t="s">
        <v>25</v>
      </c>
      <c r="C205" t="s">
        <v>49</v>
      </c>
      <c r="D205" s="5">
        <v>628031</v>
      </c>
      <c r="E205" s="5">
        <v>1982</v>
      </c>
      <c r="F205" s="5">
        <v>1725</v>
      </c>
      <c r="G205" s="3" t="s">
        <v>28</v>
      </c>
      <c r="H205" s="4">
        <v>20</v>
      </c>
      <c r="I205" s="4">
        <v>7.78</v>
      </c>
      <c r="J205" s="5">
        <v>294399</v>
      </c>
      <c r="K205" s="5">
        <v>228517</v>
      </c>
      <c r="L205" s="5">
        <v>105114</v>
      </c>
      <c r="M205" s="3" t="s">
        <v>23</v>
      </c>
      <c r="N205" s="10">
        <v>21129</v>
      </c>
      <c r="O205" s="12">
        <f>(Fact_Table[[#This Row],[Petrol_Output_BPD]]+Fact_Table[[#This Row],[Diesel_Output_BPD]]+Fact_Table[[#This Row],[Gas_Output_BPD]])/Fact_Table[[#This Row],[No_of_Employees]]</f>
        <v>364.07536231884058</v>
      </c>
      <c r="P205" s="2" t="str">
        <f>IF(Fact_Table[[#This Row],[0/P Producyivity/Day]]&gt;=1000,"High",IF(Fact_Table[[#This Row],[0/P Producyivity/Day]]&gt;=500,"Medium","Low"))</f>
        <v>Low</v>
      </c>
      <c r="Q205" s="10">
        <f>Fact_Table[[#This Row],[Capacity_BPD]]/Fact_Table[[#This Row],[Average_Salary_AED]]</f>
        <v>29.723649959770931</v>
      </c>
      <c r="R205" s="15">
        <f>(Fact_Table[[#This Row],[Petrol_Output_BPD]]/Fact_Table[[#This Row],[Capacity_BPD]])</f>
        <v>0.4687650768831475</v>
      </c>
      <c r="S205" s="15">
        <f>Fact_Table[[#This Row],[Diesel_Output_BPD]]/Fact_Table[[#This Row],[Capacity_BPD]]</f>
        <v>0.36386261187743918</v>
      </c>
      <c r="T205" s="15">
        <f>Fact_Table[[#This Row],[Gas_Output_BPD]]/Fact_Table[[#This Row],[Capacity_BPD]]</f>
        <v>0.16737071896132516</v>
      </c>
      <c r="U205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05" s="8">
        <f ca="1">YEAR(TODAY())-Fact_Table[[#This Row],[Commissioned_Year]]</f>
        <v>43</v>
      </c>
      <c r="W205" s="40" cm="1">
        <f t="array" ref="W205">_xlfn.XLOOKUP(Fact_Table[[#This Row],[Commissioned_Year]],cost_table[[#All],[Year]],cost_table[[#All],[Average_Crude_Price_USD_per_Barrel]],"0")</f>
        <v>32.799999999999997</v>
      </c>
      <c r="X205" s="40">
        <f>Fact_Table[[#This Row],[Capacity_BPD]]*Fact_Table[[#This Row],[cost per barrel]]</f>
        <v>20599416.799999997</v>
      </c>
    </row>
    <row r="206" spans="1:24" x14ac:dyDescent="0.35">
      <c r="A206" t="s">
        <v>36</v>
      </c>
      <c r="B206" t="s">
        <v>25</v>
      </c>
      <c r="C206" t="s">
        <v>51</v>
      </c>
      <c r="D206" s="5">
        <v>277486</v>
      </c>
      <c r="E206" s="5">
        <v>2008</v>
      </c>
      <c r="F206" s="5">
        <v>796</v>
      </c>
      <c r="G206" s="3" t="s">
        <v>28</v>
      </c>
      <c r="H206" s="4">
        <v>5.98</v>
      </c>
      <c r="I206" s="4">
        <v>6.64</v>
      </c>
      <c r="J206" s="5">
        <v>112423</v>
      </c>
      <c r="K206" s="5">
        <v>122153</v>
      </c>
      <c r="L206" s="5">
        <v>42908</v>
      </c>
      <c r="M206" s="3" t="s">
        <v>38</v>
      </c>
      <c r="N206" s="10">
        <v>12391</v>
      </c>
      <c r="O206" s="12">
        <f>(Fact_Table[[#This Row],[Petrol_Output_BPD]]+Fact_Table[[#This Row],[Diesel_Output_BPD]]+Fact_Table[[#This Row],[Gas_Output_BPD]])/Fact_Table[[#This Row],[No_of_Employees]]</f>
        <v>348.59798994974875</v>
      </c>
      <c r="P206" s="2" t="str">
        <f>IF(Fact_Table[[#This Row],[0/P Producyivity/Day]]&gt;=1000,"High",IF(Fact_Table[[#This Row],[0/P Producyivity/Day]]&gt;=500,"Medium","Low"))</f>
        <v>Low</v>
      </c>
      <c r="Q206" s="10">
        <f>Fact_Table[[#This Row],[Capacity_BPD]]/Fact_Table[[#This Row],[Average_Salary_AED]]</f>
        <v>22.394157049471392</v>
      </c>
      <c r="R206" s="15">
        <f>(Fact_Table[[#This Row],[Petrol_Output_BPD]]/Fact_Table[[#This Row],[Capacity_BPD]])</f>
        <v>0.405148367845585</v>
      </c>
      <c r="S206" s="15">
        <f>Fact_Table[[#This Row],[Diesel_Output_BPD]]/Fact_Table[[#This Row],[Capacity_BPD]]</f>
        <v>0.44021319994522246</v>
      </c>
      <c r="T206" s="15">
        <f>Fact_Table[[#This Row],[Gas_Output_BPD]]/Fact_Table[[#This Row],[Capacity_BPD]]</f>
        <v>0.15463122463836013</v>
      </c>
      <c r="U20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06" s="8">
        <f ca="1">YEAR(TODAY())-Fact_Table[[#This Row],[Commissioned_Year]]</f>
        <v>17</v>
      </c>
      <c r="W206" s="40" cm="1">
        <f t="array" ref="W206">_xlfn.XLOOKUP(Fact_Table[[#This Row],[Commissioned_Year]],cost_table[[#All],[Year]],cost_table[[#All],[Average_Crude_Price_USD_per_Barrel]],"0")</f>
        <v>31</v>
      </c>
      <c r="X206" s="40">
        <f>Fact_Table[[#This Row],[Capacity_BPD]]*Fact_Table[[#This Row],[cost per barrel]]</f>
        <v>8602066</v>
      </c>
    </row>
    <row r="207" spans="1:24" x14ac:dyDescent="0.35">
      <c r="A207" t="s">
        <v>18</v>
      </c>
      <c r="B207" t="s">
        <v>32</v>
      </c>
      <c r="C207" t="s">
        <v>50</v>
      </c>
      <c r="D207" s="5">
        <v>80846</v>
      </c>
      <c r="E207" s="5">
        <v>2003</v>
      </c>
      <c r="F207" s="5">
        <v>478</v>
      </c>
      <c r="G207" s="3" t="s">
        <v>16</v>
      </c>
      <c r="H207" s="4">
        <v>30.44</v>
      </c>
      <c r="I207" s="4">
        <v>9.1</v>
      </c>
      <c r="J207" s="5">
        <v>35126</v>
      </c>
      <c r="K207" s="5">
        <v>34693</v>
      </c>
      <c r="L207" s="5">
        <v>11026</v>
      </c>
      <c r="M207" s="3" t="s">
        <v>23</v>
      </c>
      <c r="N207" s="10">
        <v>16405</v>
      </c>
      <c r="O207" s="12">
        <f>(Fact_Table[[#This Row],[Petrol_Output_BPD]]+Fact_Table[[#This Row],[Diesel_Output_BPD]]+Fact_Table[[#This Row],[Gas_Output_BPD]])/Fact_Table[[#This Row],[No_of_Employees]]</f>
        <v>169.13179916317992</v>
      </c>
      <c r="P207" s="2" t="str">
        <f>IF(Fact_Table[[#This Row],[0/P Producyivity/Day]]&gt;=1000,"High",IF(Fact_Table[[#This Row],[0/P Producyivity/Day]]&gt;=500,"Medium","Low"))</f>
        <v>Low</v>
      </c>
      <c r="Q207" s="10">
        <f>Fact_Table[[#This Row],[Capacity_BPD]]/Fact_Table[[#This Row],[Average_Salary_AED]]</f>
        <v>4.9281316671746422</v>
      </c>
      <c r="R207" s="15">
        <f>(Fact_Table[[#This Row],[Petrol_Output_BPD]]/Fact_Table[[#This Row],[Capacity_BPD]])</f>
        <v>0.434480370086337</v>
      </c>
      <c r="S207" s="15">
        <f>Fact_Table[[#This Row],[Diesel_Output_BPD]]/Fact_Table[[#This Row],[Capacity_BPD]]</f>
        <v>0.42912450832446875</v>
      </c>
      <c r="T207" s="15">
        <f>Fact_Table[[#This Row],[Gas_Output_BPD]]/Fact_Table[[#This Row],[Capacity_BPD]]</f>
        <v>0.13638275239343939</v>
      </c>
      <c r="U207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07" s="8">
        <f ca="1">YEAR(TODAY())-Fact_Table[[#This Row],[Commissioned_Year]]</f>
        <v>22</v>
      </c>
      <c r="W207" s="40" cm="1">
        <f t="array" ref="W207">_xlfn.XLOOKUP(Fact_Table[[#This Row],[Commissioned_Year]],cost_table[[#All],[Year]],cost_table[[#All],[Average_Crude_Price_USD_per_Barrel]],"0")</f>
        <v>17.2</v>
      </c>
      <c r="X207" s="40">
        <f>Fact_Table[[#This Row],[Capacity_BPD]]*Fact_Table[[#This Row],[cost per barrel]]</f>
        <v>1390551.2</v>
      </c>
    </row>
    <row r="208" spans="1:24" x14ac:dyDescent="0.35">
      <c r="A208" t="s">
        <v>60</v>
      </c>
      <c r="B208" t="s">
        <v>26</v>
      </c>
      <c r="C208" t="s">
        <v>49</v>
      </c>
      <c r="D208" s="5">
        <v>324478</v>
      </c>
      <c r="E208" s="5">
        <v>1990</v>
      </c>
      <c r="F208" s="5">
        <v>2426</v>
      </c>
      <c r="G208" s="3" t="s">
        <v>28</v>
      </c>
      <c r="H208" s="4">
        <v>21.36</v>
      </c>
      <c r="I208" s="4">
        <v>5.07</v>
      </c>
      <c r="J208" s="5">
        <v>135335</v>
      </c>
      <c r="K208" s="5">
        <v>155007</v>
      </c>
      <c r="L208" s="5">
        <v>34135</v>
      </c>
      <c r="M208" s="3" t="s">
        <v>29</v>
      </c>
      <c r="N208" s="10">
        <v>16068</v>
      </c>
      <c r="O208" s="12">
        <f>(Fact_Table[[#This Row],[Petrol_Output_BPD]]+Fact_Table[[#This Row],[Diesel_Output_BPD]]+Fact_Table[[#This Row],[Gas_Output_BPD]])/Fact_Table[[#This Row],[No_of_Employees]]</f>
        <v>133.74979389942291</v>
      </c>
      <c r="P208" s="2" t="str">
        <f>IF(Fact_Table[[#This Row],[0/P Producyivity/Day]]&gt;=1000,"High",IF(Fact_Table[[#This Row],[0/P Producyivity/Day]]&gt;=500,"Medium","Low"))</f>
        <v>Low</v>
      </c>
      <c r="Q208" s="10">
        <f>Fact_Table[[#This Row],[Capacity_BPD]]/Fact_Table[[#This Row],[Average_Salary_AED]]</f>
        <v>20.194050286283296</v>
      </c>
      <c r="R208" s="15">
        <f>(Fact_Table[[#This Row],[Petrol_Output_BPD]]/Fact_Table[[#This Row],[Capacity_BPD]])</f>
        <v>0.41708528775448567</v>
      </c>
      <c r="S208" s="15">
        <f>Fact_Table[[#This Row],[Diesel_Output_BPD]]/Fact_Table[[#This Row],[Capacity_BPD]]</f>
        <v>0.47771189418080734</v>
      </c>
      <c r="T208" s="15">
        <f>Fact_Table[[#This Row],[Gas_Output_BPD]]/Fact_Table[[#This Row],[Capacity_BPD]]</f>
        <v>0.10519973619166785</v>
      </c>
      <c r="U20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08" s="8">
        <f ca="1">YEAR(TODAY())-Fact_Table[[#This Row],[Commissioned_Year]]</f>
        <v>35</v>
      </c>
      <c r="W208" s="40" cm="1">
        <f t="array" ref="W208">_xlfn.XLOOKUP(Fact_Table[[#This Row],[Commissioned_Year]],cost_table[[#All],[Year]],cost_table[[#All],[Average_Crude_Price_USD_per_Barrel]],"0")</f>
        <v>22.3</v>
      </c>
      <c r="X208" s="40">
        <f>Fact_Table[[#This Row],[Capacity_BPD]]*Fact_Table[[#This Row],[cost per barrel]]</f>
        <v>7235859.4000000004</v>
      </c>
    </row>
    <row r="209" spans="1:24" x14ac:dyDescent="0.35">
      <c r="A209" t="s">
        <v>37</v>
      </c>
      <c r="B209" t="s">
        <v>19</v>
      </c>
      <c r="C209" t="s">
        <v>48</v>
      </c>
      <c r="D209" s="5">
        <v>233916</v>
      </c>
      <c r="E209" s="5">
        <v>1995</v>
      </c>
      <c r="F209" s="5">
        <v>2484</v>
      </c>
      <c r="G209" s="3" t="s">
        <v>21</v>
      </c>
      <c r="H209" s="4">
        <v>18.239999999999998</v>
      </c>
      <c r="I209" s="4">
        <v>8.5299999999999994</v>
      </c>
      <c r="J209" s="5">
        <v>91229</v>
      </c>
      <c r="K209" s="5">
        <v>96061</v>
      </c>
      <c r="L209" s="5">
        <v>46624</v>
      </c>
      <c r="M209" s="3" t="s">
        <v>29</v>
      </c>
      <c r="N209" s="10">
        <v>18488</v>
      </c>
      <c r="O209" s="12">
        <f>(Fact_Table[[#This Row],[Petrol_Output_BPD]]+Fact_Table[[#This Row],[Diesel_Output_BPD]]+Fact_Table[[#This Row],[Gas_Output_BPD]])/Fact_Table[[#This Row],[No_of_Employees]]</f>
        <v>94.168276972624795</v>
      </c>
      <c r="P209" s="2" t="str">
        <f>IF(Fact_Table[[#This Row],[0/P Producyivity/Day]]&gt;=1000,"High",IF(Fact_Table[[#This Row],[0/P Producyivity/Day]]&gt;=500,"Medium","Low"))</f>
        <v>Low</v>
      </c>
      <c r="Q209" s="10">
        <f>Fact_Table[[#This Row],[Capacity_BPD]]/Fact_Table[[#This Row],[Average_Salary_AED]]</f>
        <v>12.652315015144959</v>
      </c>
      <c r="R209" s="15">
        <f>(Fact_Table[[#This Row],[Petrol_Output_BPD]]/Fact_Table[[#This Row],[Capacity_BPD]])</f>
        <v>0.390007524068469</v>
      </c>
      <c r="S209" s="15">
        <f>Fact_Table[[#This Row],[Diesel_Output_BPD]]/Fact_Table[[#This Row],[Capacity_BPD]]</f>
        <v>0.41066451204705962</v>
      </c>
      <c r="T209" s="15">
        <f>Fact_Table[[#This Row],[Gas_Output_BPD]]/Fact_Table[[#This Row],[Capacity_BPD]]</f>
        <v>0.19931941380666565</v>
      </c>
      <c r="U209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09" s="8">
        <f ca="1">YEAR(TODAY())-Fact_Table[[#This Row],[Commissioned_Year]]</f>
        <v>30</v>
      </c>
      <c r="W209" s="40" cm="1">
        <f t="array" ref="W209">_xlfn.XLOOKUP(Fact_Table[[#This Row],[Commissioned_Year]],cost_table[[#All],[Year]],cost_table[[#All],[Average_Crude_Price_USD_per_Barrel]],"0")</f>
        <v>20.100000000000001</v>
      </c>
      <c r="X209" s="40">
        <f>Fact_Table[[#This Row],[Capacity_BPD]]*Fact_Table[[#This Row],[cost per barrel]]</f>
        <v>4701711.6000000006</v>
      </c>
    </row>
    <row r="210" spans="1:24" x14ac:dyDescent="0.35">
      <c r="A210" t="s">
        <v>35</v>
      </c>
      <c r="B210" t="s">
        <v>25</v>
      </c>
      <c r="C210" t="s">
        <v>51</v>
      </c>
      <c r="D210" s="5">
        <v>855661</v>
      </c>
      <c r="E210" s="5">
        <v>1996</v>
      </c>
      <c r="F210" s="5">
        <v>414</v>
      </c>
      <c r="G210" s="3" t="s">
        <v>31</v>
      </c>
      <c r="H210" s="4">
        <v>27.25</v>
      </c>
      <c r="I210" s="4">
        <v>6.42</v>
      </c>
      <c r="J210" s="5">
        <v>312603</v>
      </c>
      <c r="K210" s="5">
        <v>343289</v>
      </c>
      <c r="L210" s="5">
        <v>199768</v>
      </c>
      <c r="M210" s="3" t="s">
        <v>34</v>
      </c>
      <c r="N210" s="10">
        <v>9103</v>
      </c>
      <c r="O210" s="12">
        <f>(Fact_Table[[#This Row],[Petrol_Output_BPD]]+Fact_Table[[#This Row],[Diesel_Output_BPD]]+Fact_Table[[#This Row],[Gas_Output_BPD]])/Fact_Table[[#This Row],[No_of_Employees]]</f>
        <v>2066.8115942028985</v>
      </c>
      <c r="P210" s="2" t="str">
        <f>IF(Fact_Table[[#This Row],[0/P Producyivity/Day]]&gt;=1000,"High",IF(Fact_Table[[#This Row],[0/P Producyivity/Day]]&gt;=500,"Medium","Low"))</f>
        <v>High</v>
      </c>
      <c r="Q210" s="10">
        <f>Fact_Table[[#This Row],[Capacity_BPD]]/Fact_Table[[#This Row],[Average_Salary_AED]]</f>
        <v>93.997693068219263</v>
      </c>
      <c r="R210" s="15">
        <f>(Fact_Table[[#This Row],[Petrol_Output_BPD]]/Fact_Table[[#This Row],[Capacity_BPD]])</f>
        <v>0.36533510350477583</v>
      </c>
      <c r="S210" s="15">
        <f>Fact_Table[[#This Row],[Diesel_Output_BPD]]/Fact_Table[[#This Row],[Capacity_BPD]]</f>
        <v>0.40119743683538223</v>
      </c>
      <c r="T210" s="15">
        <f>Fact_Table[[#This Row],[Gas_Output_BPD]]/Fact_Table[[#This Row],[Capacity_BPD]]</f>
        <v>0.23346629097270999</v>
      </c>
      <c r="U210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10" s="8">
        <f ca="1">YEAR(TODAY())-Fact_Table[[#This Row],[Commissioned_Year]]</f>
        <v>29</v>
      </c>
      <c r="W210" s="40" cm="1">
        <f t="array" ref="W210">_xlfn.XLOOKUP(Fact_Table[[#This Row],[Commissioned_Year]],cost_table[[#All],[Year]],cost_table[[#All],[Average_Crude_Price_USD_per_Barrel]],"0")</f>
        <v>18</v>
      </c>
      <c r="X210" s="40">
        <f>Fact_Table[[#This Row],[Capacity_BPD]]*Fact_Table[[#This Row],[cost per barrel]]</f>
        <v>15401898</v>
      </c>
    </row>
    <row r="211" spans="1:24" x14ac:dyDescent="0.35">
      <c r="A211" t="s">
        <v>60</v>
      </c>
      <c r="B211" t="s">
        <v>26</v>
      </c>
      <c r="C211" t="s">
        <v>15</v>
      </c>
      <c r="D211" s="5">
        <v>801359</v>
      </c>
      <c r="E211" s="5">
        <v>1984</v>
      </c>
      <c r="F211" s="5">
        <v>1397</v>
      </c>
      <c r="G211" s="3" t="s">
        <v>21</v>
      </c>
      <c r="H211" s="4">
        <v>32.56</v>
      </c>
      <c r="I211" s="4">
        <v>5.99</v>
      </c>
      <c r="J211" s="5">
        <v>328710</v>
      </c>
      <c r="K211" s="5">
        <v>337296</v>
      </c>
      <c r="L211" s="5">
        <v>135351</v>
      </c>
      <c r="M211" s="3" t="s">
        <v>29</v>
      </c>
      <c r="N211" s="10">
        <v>24548</v>
      </c>
      <c r="O211" s="12">
        <f>(Fact_Table[[#This Row],[Petrol_Output_BPD]]+Fact_Table[[#This Row],[Diesel_Output_BPD]]+Fact_Table[[#This Row],[Gas_Output_BPD]])/Fact_Table[[#This Row],[No_of_Employees]]</f>
        <v>573.6270579813887</v>
      </c>
      <c r="P211" s="2" t="str">
        <f>IF(Fact_Table[[#This Row],[0/P Producyivity/Day]]&gt;=1000,"High",IF(Fact_Table[[#This Row],[0/P Producyivity/Day]]&gt;=500,"Medium","Low"))</f>
        <v>Medium</v>
      </c>
      <c r="Q211" s="10">
        <f>Fact_Table[[#This Row],[Capacity_BPD]]/Fact_Table[[#This Row],[Average_Salary_AED]]</f>
        <v>32.644573896040413</v>
      </c>
      <c r="R211" s="15">
        <f>(Fact_Table[[#This Row],[Petrol_Output_BPD]]/Fact_Table[[#This Row],[Capacity_BPD]])</f>
        <v>0.41019068856779545</v>
      </c>
      <c r="S211" s="15">
        <f>Fact_Table[[#This Row],[Diesel_Output_BPD]]/Fact_Table[[#This Row],[Capacity_BPD]]</f>
        <v>0.42090498765222578</v>
      </c>
      <c r="T211" s="15">
        <f>Fact_Table[[#This Row],[Gas_Output_BPD]]/Fact_Table[[#This Row],[Capacity_BPD]]</f>
        <v>0.16890182801965162</v>
      </c>
      <c r="U21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11" s="8">
        <f ca="1">YEAR(TODAY())-Fact_Table[[#This Row],[Commissioned_Year]]</f>
        <v>41</v>
      </c>
      <c r="W211" s="40" cm="1">
        <f t="array" ref="W211">_xlfn.XLOOKUP(Fact_Table[[#This Row],[Commissioned_Year]],cost_table[[#All],[Year]],cost_table[[#All],[Average_Crude_Price_USD_per_Barrel]],"0")</f>
        <v>28.5</v>
      </c>
      <c r="X211" s="40">
        <f>Fact_Table[[#This Row],[Capacity_BPD]]*Fact_Table[[#This Row],[cost per barrel]]</f>
        <v>22838731.5</v>
      </c>
    </row>
    <row r="212" spans="1:24" x14ac:dyDescent="0.35">
      <c r="A212" t="s">
        <v>35</v>
      </c>
      <c r="B212" t="s">
        <v>32</v>
      </c>
      <c r="C212" t="s">
        <v>49</v>
      </c>
      <c r="D212" s="5">
        <v>539225</v>
      </c>
      <c r="E212" s="5">
        <v>1996</v>
      </c>
      <c r="F212" s="5">
        <v>1555</v>
      </c>
      <c r="G212" s="3" t="s">
        <v>28</v>
      </c>
      <c r="H212" s="4">
        <v>23.81</v>
      </c>
      <c r="I212" s="4">
        <v>7.29</v>
      </c>
      <c r="J212" s="5">
        <v>229270</v>
      </c>
      <c r="K212" s="5">
        <v>185140</v>
      </c>
      <c r="L212" s="5">
        <v>124814</v>
      </c>
      <c r="M212" s="3" t="s">
        <v>34</v>
      </c>
      <c r="N212" s="10">
        <v>10742</v>
      </c>
      <c r="O212" s="12">
        <f>(Fact_Table[[#This Row],[Petrol_Output_BPD]]+Fact_Table[[#This Row],[Diesel_Output_BPD]]+Fact_Table[[#This Row],[Gas_Output_BPD]])/Fact_Table[[#This Row],[No_of_Employees]]</f>
        <v>346.76784565916398</v>
      </c>
      <c r="P212" s="2" t="str">
        <f>IF(Fact_Table[[#This Row],[0/P Producyivity/Day]]&gt;=1000,"High",IF(Fact_Table[[#This Row],[0/P Producyivity/Day]]&gt;=500,"Medium","Low"))</f>
        <v>Low</v>
      </c>
      <c r="Q212" s="10">
        <f>Fact_Table[[#This Row],[Capacity_BPD]]/Fact_Table[[#This Row],[Average_Salary_AED]]</f>
        <v>50.197821634704894</v>
      </c>
      <c r="R212" s="15">
        <f>(Fact_Table[[#This Row],[Petrol_Output_BPD]]/Fact_Table[[#This Row],[Capacity_BPD]])</f>
        <v>0.42518429227131532</v>
      </c>
      <c r="S212" s="15">
        <f>Fact_Table[[#This Row],[Diesel_Output_BPD]]/Fact_Table[[#This Row],[Capacity_BPD]]</f>
        <v>0.34334461495665075</v>
      </c>
      <c r="T212" s="15">
        <f>Fact_Table[[#This Row],[Gas_Output_BPD]]/Fact_Table[[#This Row],[Capacity_BPD]]</f>
        <v>0.2314692382586119</v>
      </c>
      <c r="U21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12" s="8">
        <f ca="1">YEAR(TODAY())-Fact_Table[[#This Row],[Commissioned_Year]]</f>
        <v>29</v>
      </c>
      <c r="W212" s="40" cm="1">
        <f t="array" ref="W212">_xlfn.XLOOKUP(Fact_Table[[#This Row],[Commissioned_Year]],cost_table[[#All],[Year]],cost_table[[#All],[Average_Crude_Price_USD_per_Barrel]],"0")</f>
        <v>18</v>
      </c>
      <c r="X212" s="40">
        <f>Fact_Table[[#This Row],[Capacity_BPD]]*Fact_Table[[#This Row],[cost per barrel]]</f>
        <v>9706050</v>
      </c>
    </row>
    <row r="213" spans="1:24" x14ac:dyDescent="0.35">
      <c r="A213" t="s">
        <v>22</v>
      </c>
      <c r="B213" t="s">
        <v>19</v>
      </c>
      <c r="C213" t="s">
        <v>33</v>
      </c>
      <c r="D213" s="5">
        <v>82310</v>
      </c>
      <c r="E213" s="5">
        <v>1975</v>
      </c>
      <c r="F213" s="5">
        <v>1772</v>
      </c>
      <c r="G213" s="3" t="s">
        <v>28</v>
      </c>
      <c r="H213" s="4">
        <v>28.06</v>
      </c>
      <c r="I213" s="4">
        <v>7.81</v>
      </c>
      <c r="J213" s="5">
        <v>26794</v>
      </c>
      <c r="K213" s="5">
        <v>40771</v>
      </c>
      <c r="L213" s="5">
        <v>14744</v>
      </c>
      <c r="M213" s="3" t="s">
        <v>34</v>
      </c>
      <c r="N213" s="10">
        <v>10003</v>
      </c>
      <c r="O213" s="12">
        <f>(Fact_Table[[#This Row],[Petrol_Output_BPD]]+Fact_Table[[#This Row],[Diesel_Output_BPD]]+Fact_Table[[#This Row],[Gas_Output_BPD]])/Fact_Table[[#This Row],[No_of_Employees]]</f>
        <v>46.449774266365687</v>
      </c>
      <c r="P213" s="2" t="str">
        <f>IF(Fact_Table[[#This Row],[0/P Producyivity/Day]]&gt;=1000,"High",IF(Fact_Table[[#This Row],[0/P Producyivity/Day]]&gt;=500,"Medium","Low"))</f>
        <v>Low</v>
      </c>
      <c r="Q213" s="10">
        <f>Fact_Table[[#This Row],[Capacity_BPD]]/Fact_Table[[#This Row],[Average_Salary_AED]]</f>
        <v>8.2285314405678296</v>
      </c>
      <c r="R213" s="15">
        <f>(Fact_Table[[#This Row],[Petrol_Output_BPD]]/Fact_Table[[#This Row],[Capacity_BPD]])</f>
        <v>0.32552545255740495</v>
      </c>
      <c r="S213" s="15">
        <f>Fact_Table[[#This Row],[Diesel_Output_BPD]]/Fact_Table[[#This Row],[Capacity_BPD]]</f>
        <v>0.49533471024176895</v>
      </c>
      <c r="T213" s="15">
        <f>Fact_Table[[#This Row],[Gas_Output_BPD]]/Fact_Table[[#This Row],[Capacity_BPD]]</f>
        <v>0.17912768800874743</v>
      </c>
      <c r="U213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13" s="8">
        <f ca="1">YEAR(TODAY())-Fact_Table[[#This Row],[Commissioned_Year]]</f>
        <v>50</v>
      </c>
      <c r="W213" s="40" cm="1">
        <f t="array" ref="W213">_xlfn.XLOOKUP(Fact_Table[[#This Row],[Commissioned_Year]],cost_table[[#All],[Year]],cost_table[[#All],[Average_Crude_Price_USD_per_Barrel]],"0")</f>
        <v>10.7</v>
      </c>
      <c r="X213" s="40">
        <f>Fact_Table[[#This Row],[Capacity_BPD]]*Fact_Table[[#This Row],[cost per barrel]]</f>
        <v>880716.99999999988</v>
      </c>
    </row>
    <row r="214" spans="1:24" x14ac:dyDescent="0.35">
      <c r="A214" t="s">
        <v>60</v>
      </c>
      <c r="B214" t="s">
        <v>41</v>
      </c>
      <c r="C214" t="s">
        <v>46</v>
      </c>
      <c r="D214" s="5">
        <v>275341</v>
      </c>
      <c r="E214" s="5">
        <v>2017</v>
      </c>
      <c r="F214" s="5">
        <v>1853</v>
      </c>
      <c r="G214" s="3" t="s">
        <v>21</v>
      </c>
      <c r="H214" s="4">
        <v>1.96</v>
      </c>
      <c r="I214" s="4">
        <v>8.32</v>
      </c>
      <c r="J214" s="5">
        <v>98714</v>
      </c>
      <c r="K214" s="5">
        <v>115661</v>
      </c>
      <c r="L214" s="5">
        <v>60965</v>
      </c>
      <c r="M214" s="3" t="s">
        <v>38</v>
      </c>
      <c r="N214" s="10">
        <v>17056</v>
      </c>
      <c r="O214" s="12">
        <f>(Fact_Table[[#This Row],[Petrol_Output_BPD]]+Fact_Table[[#This Row],[Diesel_Output_BPD]]+Fact_Table[[#This Row],[Gas_Output_BPD]])/Fact_Table[[#This Row],[No_of_Employees]]</f>
        <v>148.59147328656232</v>
      </c>
      <c r="P214" s="2" t="str">
        <f>IF(Fact_Table[[#This Row],[0/P Producyivity/Day]]&gt;=1000,"High",IF(Fact_Table[[#This Row],[0/P Producyivity/Day]]&gt;=500,"Medium","Low"))</f>
        <v>Low</v>
      </c>
      <c r="Q214" s="10">
        <f>Fact_Table[[#This Row],[Capacity_BPD]]/Fact_Table[[#This Row],[Average_Salary_AED]]</f>
        <v>16.143351313320824</v>
      </c>
      <c r="R214" s="15">
        <f>(Fact_Table[[#This Row],[Petrol_Output_BPD]]/Fact_Table[[#This Row],[Capacity_BPD]])</f>
        <v>0.35851544085334186</v>
      </c>
      <c r="S214" s="15">
        <f>Fact_Table[[#This Row],[Diesel_Output_BPD]]/Fact_Table[[#This Row],[Capacity_BPD]]</f>
        <v>0.42006457447310791</v>
      </c>
      <c r="T214" s="15">
        <f>Fact_Table[[#This Row],[Gas_Output_BPD]]/Fact_Table[[#This Row],[Capacity_BPD]]</f>
        <v>0.22141635281342045</v>
      </c>
      <c r="U214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14" s="8">
        <f ca="1">YEAR(TODAY())-Fact_Table[[#This Row],[Commissioned_Year]]</f>
        <v>8</v>
      </c>
      <c r="W214" s="40" cm="1">
        <f t="array" ref="W214">_xlfn.XLOOKUP(Fact_Table[[#This Row],[Commissioned_Year]],cost_table[[#All],[Year]],cost_table[[#All],[Average_Crude_Price_USD_per_Barrel]],"0")</f>
        <v>71.3</v>
      </c>
      <c r="X214" s="40">
        <f>Fact_Table[[#This Row],[Capacity_BPD]]*Fact_Table[[#This Row],[cost per barrel]]</f>
        <v>19631813.300000001</v>
      </c>
    </row>
    <row r="215" spans="1:24" x14ac:dyDescent="0.35">
      <c r="A215" t="s">
        <v>37</v>
      </c>
      <c r="B215" t="s">
        <v>19</v>
      </c>
      <c r="C215" t="s">
        <v>48</v>
      </c>
      <c r="D215" s="5">
        <v>246067</v>
      </c>
      <c r="E215" s="5">
        <v>1975</v>
      </c>
      <c r="F215" s="5">
        <v>2336</v>
      </c>
      <c r="G215" s="3" t="s">
        <v>16</v>
      </c>
      <c r="H215" s="4">
        <v>34.21</v>
      </c>
      <c r="I215" s="4">
        <v>8.27</v>
      </c>
      <c r="J215" s="5">
        <v>79440</v>
      </c>
      <c r="K215" s="5">
        <v>112138</v>
      </c>
      <c r="L215" s="5">
        <v>54488</v>
      </c>
      <c r="M215" s="3" t="s">
        <v>23</v>
      </c>
      <c r="N215" s="10">
        <v>19219</v>
      </c>
      <c r="O215" s="12">
        <f>(Fact_Table[[#This Row],[Petrol_Output_BPD]]+Fact_Table[[#This Row],[Diesel_Output_BPD]]+Fact_Table[[#This Row],[Gas_Output_BPD]])/Fact_Table[[#This Row],[No_of_Employees]]</f>
        <v>105.33647260273973</v>
      </c>
      <c r="P215" s="2" t="str">
        <f>IF(Fact_Table[[#This Row],[0/P Producyivity/Day]]&gt;=1000,"High",IF(Fact_Table[[#This Row],[0/P Producyivity/Day]]&gt;=500,"Medium","Low"))</f>
        <v>Low</v>
      </c>
      <c r="Q215" s="10">
        <f>Fact_Table[[#This Row],[Capacity_BPD]]/Fact_Table[[#This Row],[Average_Salary_AED]]</f>
        <v>12.803319631614547</v>
      </c>
      <c r="R215" s="15">
        <f>(Fact_Table[[#This Row],[Petrol_Output_BPD]]/Fact_Table[[#This Row],[Capacity_BPD]])</f>
        <v>0.32283890159997075</v>
      </c>
      <c r="S215" s="15">
        <f>Fact_Table[[#This Row],[Diesel_Output_BPD]]/Fact_Table[[#This Row],[Capacity_BPD]]</f>
        <v>0.45572140920968679</v>
      </c>
      <c r="T215" s="15">
        <f>Fact_Table[[#This Row],[Gas_Output_BPD]]/Fact_Table[[#This Row],[Capacity_BPD]]</f>
        <v>0.22143562525653582</v>
      </c>
      <c r="U215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15" s="8">
        <f ca="1">YEAR(TODAY())-Fact_Table[[#This Row],[Commissioned_Year]]</f>
        <v>50</v>
      </c>
      <c r="W215" s="40" cm="1">
        <f t="array" ref="W215">_xlfn.XLOOKUP(Fact_Table[[#This Row],[Commissioned_Year]],cost_table[[#All],[Year]],cost_table[[#All],[Average_Crude_Price_USD_per_Barrel]],"0")</f>
        <v>10.7</v>
      </c>
      <c r="X215" s="40">
        <f>Fact_Table[[#This Row],[Capacity_BPD]]*Fact_Table[[#This Row],[cost per barrel]]</f>
        <v>2632916.9</v>
      </c>
    </row>
    <row r="216" spans="1:24" x14ac:dyDescent="0.35">
      <c r="A216" t="s">
        <v>45</v>
      </c>
      <c r="B216" t="s">
        <v>14</v>
      </c>
      <c r="C216" t="s">
        <v>15</v>
      </c>
      <c r="D216" s="5">
        <v>250192</v>
      </c>
      <c r="E216" s="5">
        <v>2000</v>
      </c>
      <c r="F216" s="5">
        <v>2367</v>
      </c>
      <c r="G216" s="3" t="s">
        <v>21</v>
      </c>
      <c r="H216" s="4">
        <v>31.7</v>
      </c>
      <c r="I216" s="4">
        <v>9.94</v>
      </c>
      <c r="J216" s="5">
        <v>91140</v>
      </c>
      <c r="K216" s="5">
        <v>124500</v>
      </c>
      <c r="L216" s="5">
        <v>34551</v>
      </c>
      <c r="M216" s="3" t="s">
        <v>38</v>
      </c>
      <c r="N216" s="10">
        <v>18996</v>
      </c>
      <c r="O216" s="12">
        <f>(Fact_Table[[#This Row],[Petrol_Output_BPD]]+Fact_Table[[#This Row],[Diesel_Output_BPD]]+Fact_Table[[#This Row],[Gas_Output_BPD]])/Fact_Table[[#This Row],[No_of_Employees]]</f>
        <v>105.69961977186311</v>
      </c>
      <c r="P216" s="2" t="str">
        <f>IF(Fact_Table[[#This Row],[0/P Producyivity/Day]]&gt;=1000,"High",IF(Fact_Table[[#This Row],[0/P Producyivity/Day]]&gt;=500,"Medium","Low"))</f>
        <v>Low</v>
      </c>
      <c r="Q216" s="10">
        <f>Fact_Table[[#This Row],[Capacity_BPD]]/Fact_Table[[#This Row],[Average_Salary_AED]]</f>
        <v>13.170772794272478</v>
      </c>
      <c r="R216" s="15">
        <f>(Fact_Table[[#This Row],[Petrol_Output_BPD]]/Fact_Table[[#This Row],[Capacity_BPD]])</f>
        <v>0.36428023278122401</v>
      </c>
      <c r="S216" s="15">
        <f>Fact_Table[[#This Row],[Diesel_Output_BPD]]/Fact_Table[[#This Row],[Capacity_BPD]]</f>
        <v>0.49761782950693867</v>
      </c>
      <c r="T216" s="15">
        <f>Fact_Table[[#This Row],[Gas_Output_BPD]]/Fact_Table[[#This Row],[Capacity_BPD]]</f>
        <v>0.13809794078147983</v>
      </c>
      <c r="U216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16" s="8">
        <f ca="1">YEAR(TODAY())-Fact_Table[[#This Row],[Commissioned_Year]]</f>
        <v>25</v>
      </c>
      <c r="W216" s="40" cm="1">
        <f t="array" ref="W216">_xlfn.XLOOKUP(Fact_Table[[#This Row],[Commissioned_Year]],cost_table[[#All],[Year]],cost_table[[#All],[Average_Crude_Price_USD_per_Barrel]],"0")</f>
        <v>23.1</v>
      </c>
      <c r="X216" s="40">
        <f>Fact_Table[[#This Row],[Capacity_BPD]]*Fact_Table[[#This Row],[cost per barrel]]</f>
        <v>5779435.2000000002</v>
      </c>
    </row>
    <row r="217" spans="1:24" x14ac:dyDescent="0.35">
      <c r="A217" t="s">
        <v>37</v>
      </c>
      <c r="B217" t="s">
        <v>40</v>
      </c>
      <c r="C217" t="s">
        <v>51</v>
      </c>
      <c r="D217" s="5">
        <v>748207</v>
      </c>
      <c r="E217" s="5">
        <v>1984</v>
      </c>
      <c r="F217" s="5">
        <v>501</v>
      </c>
      <c r="G217" s="3" t="s">
        <v>31</v>
      </c>
      <c r="H217" s="4">
        <v>29.82</v>
      </c>
      <c r="I217" s="4">
        <v>7.28</v>
      </c>
      <c r="J217" s="5">
        <v>231861</v>
      </c>
      <c r="K217" s="5">
        <v>342326</v>
      </c>
      <c r="L217" s="5">
        <v>174019</v>
      </c>
      <c r="M217" s="3" t="s">
        <v>17</v>
      </c>
      <c r="N217" s="10">
        <v>10243</v>
      </c>
      <c r="O217" s="12">
        <f>(Fact_Table[[#This Row],[Petrol_Output_BPD]]+Fact_Table[[#This Row],[Diesel_Output_BPD]]+Fact_Table[[#This Row],[Gas_Output_BPD]])/Fact_Table[[#This Row],[No_of_Employees]]</f>
        <v>1493.4251497005987</v>
      </c>
      <c r="P217" s="2" t="str">
        <f>IF(Fact_Table[[#This Row],[0/P Producyivity/Day]]&gt;=1000,"High",IF(Fact_Table[[#This Row],[0/P Producyivity/Day]]&gt;=500,"Medium","Low"))</f>
        <v>High</v>
      </c>
      <c r="Q217" s="10">
        <f>Fact_Table[[#This Row],[Capacity_BPD]]/Fact_Table[[#This Row],[Average_Salary_AED]]</f>
        <v>73.045689739334179</v>
      </c>
      <c r="R217" s="15">
        <f>(Fact_Table[[#This Row],[Petrol_Output_BPD]]/Fact_Table[[#This Row],[Capacity_BPD]])</f>
        <v>0.30988884092236507</v>
      </c>
      <c r="S217" s="15">
        <f>Fact_Table[[#This Row],[Diesel_Output_BPD]]/Fact_Table[[#This Row],[Capacity_BPD]]</f>
        <v>0.45752846471631514</v>
      </c>
      <c r="T217" s="15">
        <f>Fact_Table[[#This Row],[Gas_Output_BPD]]/Fact_Table[[#This Row],[Capacity_BPD]]</f>
        <v>0.23258135783279227</v>
      </c>
      <c r="U217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17" s="8">
        <f ca="1">YEAR(TODAY())-Fact_Table[[#This Row],[Commissioned_Year]]</f>
        <v>41</v>
      </c>
      <c r="W217" s="40" cm="1">
        <f t="array" ref="W217">_xlfn.XLOOKUP(Fact_Table[[#This Row],[Commissioned_Year]],cost_table[[#All],[Year]],cost_table[[#All],[Average_Crude_Price_USD_per_Barrel]],"0")</f>
        <v>28.5</v>
      </c>
      <c r="X217" s="40">
        <f>Fact_Table[[#This Row],[Capacity_BPD]]*Fact_Table[[#This Row],[cost per barrel]]</f>
        <v>21323899.5</v>
      </c>
    </row>
    <row r="218" spans="1:24" x14ac:dyDescent="0.35">
      <c r="A218" t="s">
        <v>27</v>
      </c>
      <c r="B218" t="s">
        <v>40</v>
      </c>
      <c r="C218" t="s">
        <v>39</v>
      </c>
      <c r="D218" s="5">
        <v>453900</v>
      </c>
      <c r="E218" s="5">
        <v>2011</v>
      </c>
      <c r="F218" s="5">
        <v>1690</v>
      </c>
      <c r="G218" s="3" t="s">
        <v>21</v>
      </c>
      <c r="H218" s="4">
        <v>10.71</v>
      </c>
      <c r="I218" s="4">
        <v>5.41</v>
      </c>
      <c r="J218" s="5">
        <v>194508</v>
      </c>
      <c r="K218" s="5">
        <v>204401</v>
      </c>
      <c r="L218" s="5">
        <v>54989</v>
      </c>
      <c r="M218" s="3" t="s">
        <v>17</v>
      </c>
      <c r="N218" s="10">
        <v>15649</v>
      </c>
      <c r="O218" s="12">
        <f>(Fact_Table[[#This Row],[Petrol_Output_BPD]]+Fact_Table[[#This Row],[Diesel_Output_BPD]]+Fact_Table[[#This Row],[Gas_Output_BPD]])/Fact_Table[[#This Row],[No_of_Employees]]</f>
        <v>268.57869822485208</v>
      </c>
      <c r="P218" s="2" t="str">
        <f>IF(Fact_Table[[#This Row],[0/P Producyivity/Day]]&gt;=1000,"High",IF(Fact_Table[[#This Row],[0/P Producyivity/Day]]&gt;=500,"Medium","Low"))</f>
        <v>Low</v>
      </c>
      <c r="Q218" s="10">
        <f>Fact_Table[[#This Row],[Capacity_BPD]]/Fact_Table[[#This Row],[Average_Salary_AED]]</f>
        <v>29.005048245894308</v>
      </c>
      <c r="R218" s="15">
        <f>(Fact_Table[[#This Row],[Petrol_Output_BPD]]/Fact_Table[[#This Row],[Capacity_BPD]])</f>
        <v>0.42852610707204231</v>
      </c>
      <c r="S218" s="15">
        <f>Fact_Table[[#This Row],[Diesel_Output_BPD]]/Fact_Table[[#This Row],[Capacity_BPD]]</f>
        <v>0.45032165675258867</v>
      </c>
      <c r="T218" s="15">
        <f>Fact_Table[[#This Row],[Gas_Output_BPD]]/Fact_Table[[#This Row],[Capacity_BPD]]</f>
        <v>0.12114782991848425</v>
      </c>
      <c r="U21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18" s="8">
        <f ca="1">YEAR(TODAY())-Fact_Table[[#This Row],[Commissioned_Year]]</f>
        <v>14</v>
      </c>
      <c r="W218" s="40" cm="1">
        <f t="array" ref="W218">_xlfn.XLOOKUP(Fact_Table[[#This Row],[Commissioned_Year]],cost_table[[#All],[Year]],cost_table[[#All],[Average_Crude_Price_USD_per_Barrel]],"0")</f>
        <v>66.099999999999994</v>
      </c>
      <c r="X218" s="40">
        <f>Fact_Table[[#This Row],[Capacity_BPD]]*Fact_Table[[#This Row],[cost per barrel]]</f>
        <v>30002789.999999996</v>
      </c>
    </row>
    <row r="219" spans="1:24" x14ac:dyDescent="0.35">
      <c r="A219" t="s">
        <v>37</v>
      </c>
      <c r="B219" t="s">
        <v>14</v>
      </c>
      <c r="C219" t="s">
        <v>47</v>
      </c>
      <c r="D219" s="5">
        <v>878330</v>
      </c>
      <c r="E219" s="5">
        <v>2015</v>
      </c>
      <c r="F219" s="5">
        <v>1019</v>
      </c>
      <c r="G219" s="3" t="s">
        <v>28</v>
      </c>
      <c r="H219" s="4">
        <v>15.66</v>
      </c>
      <c r="I219" s="4">
        <v>8.3699999999999992</v>
      </c>
      <c r="J219" s="5">
        <v>275868</v>
      </c>
      <c r="K219" s="5">
        <v>452505</v>
      </c>
      <c r="L219" s="5">
        <v>149955</v>
      </c>
      <c r="M219" s="3" t="s">
        <v>23</v>
      </c>
      <c r="N219" s="10">
        <v>19619</v>
      </c>
      <c r="O219" s="12">
        <f>(Fact_Table[[#This Row],[Petrol_Output_BPD]]+Fact_Table[[#This Row],[Diesel_Output_BPD]]+Fact_Table[[#This Row],[Gas_Output_BPD]])/Fact_Table[[#This Row],[No_of_Employees]]</f>
        <v>861.95093228655549</v>
      </c>
      <c r="P219" s="2" t="str">
        <f>IF(Fact_Table[[#This Row],[0/P Producyivity/Day]]&gt;=1000,"High",IF(Fact_Table[[#This Row],[0/P Producyivity/Day]]&gt;=500,"Medium","Low"))</f>
        <v>Medium</v>
      </c>
      <c r="Q219" s="10">
        <f>Fact_Table[[#This Row],[Capacity_BPD]]/Fact_Table[[#This Row],[Average_Salary_AED]]</f>
        <v>44.769356236301547</v>
      </c>
      <c r="R219" s="15">
        <f>(Fact_Table[[#This Row],[Petrol_Output_BPD]]/Fact_Table[[#This Row],[Capacity_BPD]])</f>
        <v>0.31408240638484397</v>
      </c>
      <c r="S219" s="15">
        <f>Fact_Table[[#This Row],[Diesel_Output_BPD]]/Fact_Table[[#This Row],[Capacity_BPD]]</f>
        <v>0.51518791342661641</v>
      </c>
      <c r="T219" s="15">
        <f>Fact_Table[[#This Row],[Gas_Output_BPD]]/Fact_Table[[#This Row],[Capacity_BPD]]</f>
        <v>0.17072740314004986</v>
      </c>
      <c r="U219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19" s="8">
        <f ca="1">YEAR(TODAY())-Fact_Table[[#This Row],[Commissioned_Year]]</f>
        <v>10</v>
      </c>
      <c r="W219" s="40" cm="1">
        <f t="array" ref="W219">_xlfn.XLOOKUP(Fact_Table[[#This Row],[Commissioned_Year]],cost_table[[#All],[Year]],cost_table[[#All],[Average_Crude_Price_USD_per_Barrel]],"0")</f>
        <v>43.7</v>
      </c>
      <c r="X219" s="40">
        <f>Fact_Table[[#This Row],[Capacity_BPD]]*Fact_Table[[#This Row],[cost per barrel]]</f>
        <v>38383021</v>
      </c>
    </row>
    <row r="220" spans="1:24" x14ac:dyDescent="0.35">
      <c r="A220" t="s">
        <v>30</v>
      </c>
      <c r="B220" t="s">
        <v>41</v>
      </c>
      <c r="C220" t="s">
        <v>33</v>
      </c>
      <c r="D220" s="5">
        <v>155468</v>
      </c>
      <c r="E220" s="5">
        <v>2017</v>
      </c>
      <c r="F220" s="5">
        <v>1740</v>
      </c>
      <c r="G220" s="3" t="s">
        <v>21</v>
      </c>
      <c r="H220" s="4">
        <v>14.53</v>
      </c>
      <c r="I220" s="4">
        <v>8.39</v>
      </c>
      <c r="J220" s="5">
        <v>50279</v>
      </c>
      <c r="K220" s="5">
        <v>71651</v>
      </c>
      <c r="L220" s="5">
        <v>33536</v>
      </c>
      <c r="M220" s="3" t="s">
        <v>17</v>
      </c>
      <c r="N220" s="10">
        <v>11744</v>
      </c>
      <c r="O220" s="12">
        <f>(Fact_Table[[#This Row],[Petrol_Output_BPD]]+Fact_Table[[#This Row],[Diesel_Output_BPD]]+Fact_Table[[#This Row],[Gas_Output_BPD]])/Fact_Table[[#This Row],[No_of_Employees]]</f>
        <v>89.348275862068959</v>
      </c>
      <c r="P220" s="2" t="str">
        <f>IF(Fact_Table[[#This Row],[0/P Producyivity/Day]]&gt;=1000,"High",IF(Fact_Table[[#This Row],[0/P Producyivity/Day]]&gt;=500,"Medium","Low"))</f>
        <v>Low</v>
      </c>
      <c r="Q220" s="10">
        <f>Fact_Table[[#This Row],[Capacity_BPD]]/Fact_Table[[#This Row],[Average_Salary_AED]]</f>
        <v>13.23807901907357</v>
      </c>
      <c r="R220" s="15">
        <f>(Fact_Table[[#This Row],[Petrol_Output_BPD]]/Fact_Table[[#This Row],[Capacity_BPD]])</f>
        <v>0.32340417320606168</v>
      </c>
      <c r="S220" s="15">
        <f>Fact_Table[[#This Row],[Diesel_Output_BPD]]/Fact_Table[[#This Row],[Capacity_BPD]]</f>
        <v>0.46087297707566832</v>
      </c>
      <c r="T220" s="15">
        <f>Fact_Table[[#This Row],[Gas_Output_BPD]]/Fact_Table[[#This Row],[Capacity_BPD]]</f>
        <v>0.21570998533460262</v>
      </c>
      <c r="U220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20" s="8">
        <f ca="1">YEAR(TODAY())-Fact_Table[[#This Row],[Commissioned_Year]]</f>
        <v>8</v>
      </c>
      <c r="W220" s="40" cm="1">
        <f t="array" ref="W220">_xlfn.XLOOKUP(Fact_Table[[#This Row],[Commissioned_Year]],cost_table[[#All],[Year]],cost_table[[#All],[Average_Crude_Price_USD_per_Barrel]],"0")</f>
        <v>71.3</v>
      </c>
      <c r="X220" s="40">
        <f>Fact_Table[[#This Row],[Capacity_BPD]]*Fact_Table[[#This Row],[cost per barrel]]</f>
        <v>11084868.4</v>
      </c>
    </row>
    <row r="221" spans="1:24" x14ac:dyDescent="0.35">
      <c r="A221" t="s">
        <v>36</v>
      </c>
      <c r="B221" t="s">
        <v>19</v>
      </c>
      <c r="C221" t="s">
        <v>39</v>
      </c>
      <c r="D221" s="5">
        <v>190595</v>
      </c>
      <c r="E221" s="5">
        <v>2006</v>
      </c>
      <c r="F221" s="5">
        <v>431</v>
      </c>
      <c r="G221" s="3" t="s">
        <v>21</v>
      </c>
      <c r="H221" s="4">
        <v>18.98</v>
      </c>
      <c r="I221" s="4">
        <v>6.28</v>
      </c>
      <c r="J221" s="5">
        <v>82151</v>
      </c>
      <c r="K221" s="5">
        <v>67396</v>
      </c>
      <c r="L221" s="5">
        <v>41046</v>
      </c>
      <c r="M221" s="3" t="s">
        <v>29</v>
      </c>
      <c r="N221" s="10">
        <v>17860</v>
      </c>
      <c r="O221" s="12">
        <f>(Fact_Table[[#This Row],[Petrol_Output_BPD]]+Fact_Table[[#This Row],[Diesel_Output_BPD]]+Fact_Table[[#This Row],[Gas_Output_BPD]])/Fact_Table[[#This Row],[No_of_Employees]]</f>
        <v>442.21113689095125</v>
      </c>
      <c r="P221" s="2" t="str">
        <f>IF(Fact_Table[[#This Row],[0/P Producyivity/Day]]&gt;=1000,"High",IF(Fact_Table[[#This Row],[0/P Producyivity/Day]]&gt;=500,"Medium","Low"))</f>
        <v>Low</v>
      </c>
      <c r="Q221" s="10">
        <f>Fact_Table[[#This Row],[Capacity_BPD]]/Fact_Table[[#This Row],[Average_Salary_AED]]</f>
        <v>10.671612541993282</v>
      </c>
      <c r="R221" s="15">
        <f>(Fact_Table[[#This Row],[Petrol_Output_BPD]]/Fact_Table[[#This Row],[Capacity_BPD]])</f>
        <v>0.43102389884309661</v>
      </c>
      <c r="S221" s="15">
        <f>Fact_Table[[#This Row],[Diesel_Output_BPD]]/Fact_Table[[#This Row],[Capacity_BPD]]</f>
        <v>0.35360843673758491</v>
      </c>
      <c r="T221" s="15">
        <f>Fact_Table[[#This Row],[Gas_Output_BPD]]/Fact_Table[[#This Row],[Capacity_BPD]]</f>
        <v>0.21535717096461082</v>
      </c>
      <c r="U22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21" s="8">
        <f ca="1">YEAR(TODAY())-Fact_Table[[#This Row],[Commissioned_Year]]</f>
        <v>19</v>
      </c>
      <c r="W221" s="40" cm="1">
        <f t="array" ref="W221">_xlfn.XLOOKUP(Fact_Table[[#This Row],[Commissioned_Year]],cost_table[[#All],[Year]],cost_table[[#All],[Average_Crude_Price_USD_per_Barrel]],"0")</f>
        <v>28.8</v>
      </c>
      <c r="X221" s="40">
        <f>Fact_Table[[#This Row],[Capacity_BPD]]*Fact_Table[[#This Row],[cost per barrel]]</f>
        <v>5489136</v>
      </c>
    </row>
    <row r="222" spans="1:24" x14ac:dyDescent="0.35">
      <c r="A222" t="s">
        <v>45</v>
      </c>
      <c r="B222" t="s">
        <v>41</v>
      </c>
      <c r="C222" t="s">
        <v>20</v>
      </c>
      <c r="D222" s="5">
        <v>139763</v>
      </c>
      <c r="E222" s="5">
        <v>1991</v>
      </c>
      <c r="F222" s="5">
        <v>2049</v>
      </c>
      <c r="G222" s="3" t="s">
        <v>16</v>
      </c>
      <c r="H222" s="4">
        <v>31.62</v>
      </c>
      <c r="I222" s="4">
        <v>7.79</v>
      </c>
      <c r="J222" s="5">
        <v>53146</v>
      </c>
      <c r="K222" s="5">
        <v>58091</v>
      </c>
      <c r="L222" s="5">
        <v>28525</v>
      </c>
      <c r="M222" s="3" t="s">
        <v>34</v>
      </c>
      <c r="N222" s="10">
        <v>10090</v>
      </c>
      <c r="O222" s="12">
        <f>(Fact_Table[[#This Row],[Petrol_Output_BPD]]+Fact_Table[[#This Row],[Diesel_Output_BPD]]+Fact_Table[[#This Row],[Gas_Output_BPD]])/Fact_Table[[#This Row],[No_of_Employees]]</f>
        <v>68.209858467545146</v>
      </c>
      <c r="P222" s="2" t="str">
        <f>IF(Fact_Table[[#This Row],[0/P Producyivity/Day]]&gt;=1000,"High",IF(Fact_Table[[#This Row],[0/P Producyivity/Day]]&gt;=500,"Medium","Low"))</f>
        <v>Low</v>
      </c>
      <c r="Q222" s="10">
        <f>Fact_Table[[#This Row],[Capacity_BPD]]/Fact_Table[[#This Row],[Average_Salary_AED]]</f>
        <v>13.851635282457879</v>
      </c>
      <c r="R222" s="15">
        <f>(Fact_Table[[#This Row],[Petrol_Output_BPD]]/Fact_Table[[#This Row],[Capacity_BPD]])</f>
        <v>0.38025800819959504</v>
      </c>
      <c r="S222" s="15">
        <f>Fact_Table[[#This Row],[Diesel_Output_BPD]]/Fact_Table[[#This Row],[Capacity_BPD]]</f>
        <v>0.41563933229824773</v>
      </c>
      <c r="T222" s="15">
        <f>Fact_Table[[#This Row],[Gas_Output_BPD]]/Fact_Table[[#This Row],[Capacity_BPD]]</f>
        <v>0.20409550453267317</v>
      </c>
      <c r="U22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22" s="8">
        <f ca="1">YEAR(TODAY())-Fact_Table[[#This Row],[Commissioned_Year]]</f>
        <v>34</v>
      </c>
      <c r="W222" s="40" cm="1">
        <f t="array" ref="W222">_xlfn.XLOOKUP(Fact_Table[[#This Row],[Commissioned_Year]],cost_table[[#All],[Year]],cost_table[[#All],[Average_Crude_Price_USD_per_Barrel]],"0")</f>
        <v>18.399999999999999</v>
      </c>
      <c r="X222" s="40">
        <f>Fact_Table[[#This Row],[Capacity_BPD]]*Fact_Table[[#This Row],[cost per barrel]]</f>
        <v>2571639.1999999997</v>
      </c>
    </row>
    <row r="223" spans="1:24" x14ac:dyDescent="0.35">
      <c r="A223" t="s">
        <v>36</v>
      </c>
      <c r="B223" t="s">
        <v>41</v>
      </c>
      <c r="C223" t="s">
        <v>15</v>
      </c>
      <c r="D223" s="5">
        <v>833266</v>
      </c>
      <c r="E223" s="5">
        <v>2010</v>
      </c>
      <c r="F223" s="5">
        <v>2001</v>
      </c>
      <c r="G223" s="3" t="s">
        <v>16</v>
      </c>
      <c r="H223" s="4">
        <v>14.05</v>
      </c>
      <c r="I223" s="4">
        <v>6.25</v>
      </c>
      <c r="J223" s="5">
        <v>254328</v>
      </c>
      <c r="K223" s="5">
        <v>421465</v>
      </c>
      <c r="L223" s="5">
        <v>157472</v>
      </c>
      <c r="M223" s="3" t="s">
        <v>29</v>
      </c>
      <c r="N223" s="10">
        <v>17186</v>
      </c>
      <c r="O223" s="12">
        <f>(Fact_Table[[#This Row],[Petrol_Output_BPD]]+Fact_Table[[#This Row],[Diesel_Output_BPD]]+Fact_Table[[#This Row],[Gas_Output_BPD]])/Fact_Table[[#This Row],[No_of_Employees]]</f>
        <v>416.42428785607194</v>
      </c>
      <c r="P223" s="2" t="str">
        <f>IF(Fact_Table[[#This Row],[0/P Producyivity/Day]]&gt;=1000,"High",IF(Fact_Table[[#This Row],[0/P Producyivity/Day]]&gt;=500,"Medium","Low"))</f>
        <v>Low</v>
      </c>
      <c r="Q223" s="10">
        <f>Fact_Table[[#This Row],[Capacity_BPD]]/Fact_Table[[#This Row],[Average_Salary_AED]]</f>
        <v>48.485162341440706</v>
      </c>
      <c r="R223" s="15">
        <f>(Fact_Table[[#This Row],[Petrol_Output_BPD]]/Fact_Table[[#This Row],[Capacity_BPD]])</f>
        <v>0.30521826163554017</v>
      </c>
      <c r="S223" s="15">
        <f>Fact_Table[[#This Row],[Diesel_Output_BPD]]/Fact_Table[[#This Row],[Capacity_BPD]]</f>
        <v>0.5057988685485787</v>
      </c>
      <c r="T223" s="15">
        <f>Fact_Table[[#This Row],[Gas_Output_BPD]]/Fact_Table[[#This Row],[Capacity_BPD]]</f>
        <v>0.18898166971891328</v>
      </c>
      <c r="U223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23" s="8">
        <f ca="1">YEAR(TODAY())-Fact_Table[[#This Row],[Commissioned_Year]]</f>
        <v>15</v>
      </c>
      <c r="W223" s="40" cm="1">
        <f t="array" ref="W223">_xlfn.XLOOKUP(Fact_Table[[#This Row],[Commissioned_Year]],cost_table[[#All],[Year]],cost_table[[#All],[Average_Crude_Price_USD_per_Barrel]],"0")</f>
        <v>56.6</v>
      </c>
      <c r="X223" s="40">
        <f>Fact_Table[[#This Row],[Capacity_BPD]]*Fact_Table[[#This Row],[cost per barrel]]</f>
        <v>47162855.600000001</v>
      </c>
    </row>
    <row r="224" spans="1:24" x14ac:dyDescent="0.35">
      <c r="A224" t="s">
        <v>45</v>
      </c>
      <c r="B224" t="s">
        <v>40</v>
      </c>
      <c r="C224" t="s">
        <v>33</v>
      </c>
      <c r="D224" s="5">
        <v>754542</v>
      </c>
      <c r="E224" s="5">
        <v>2021</v>
      </c>
      <c r="F224" s="5">
        <v>2042</v>
      </c>
      <c r="G224" s="3" t="s">
        <v>21</v>
      </c>
      <c r="H224" s="4">
        <v>23.1</v>
      </c>
      <c r="I224" s="4">
        <v>5.88</v>
      </c>
      <c r="J224" s="5">
        <v>339474</v>
      </c>
      <c r="K224" s="5">
        <v>310771</v>
      </c>
      <c r="L224" s="5">
        <v>104296</v>
      </c>
      <c r="M224" s="3" t="s">
        <v>17</v>
      </c>
      <c r="N224" s="10">
        <v>13160</v>
      </c>
      <c r="O224" s="12">
        <f>(Fact_Table[[#This Row],[Petrol_Output_BPD]]+Fact_Table[[#This Row],[Diesel_Output_BPD]]+Fact_Table[[#This Row],[Gas_Output_BPD]])/Fact_Table[[#This Row],[No_of_Employees]]</f>
        <v>369.51077375122429</v>
      </c>
      <c r="P224" s="2" t="str">
        <f>IF(Fact_Table[[#This Row],[0/P Producyivity/Day]]&gt;=1000,"High",IF(Fact_Table[[#This Row],[0/P Producyivity/Day]]&gt;=500,"Medium","Low"))</f>
        <v>Low</v>
      </c>
      <c r="Q224" s="10">
        <f>Fact_Table[[#This Row],[Capacity_BPD]]/Fact_Table[[#This Row],[Average_Salary_AED]]</f>
        <v>57.336018237082065</v>
      </c>
      <c r="R224" s="15">
        <f>(Fact_Table[[#This Row],[Petrol_Output_BPD]]/Fact_Table[[#This Row],[Capacity_BPD]])</f>
        <v>0.44990736102165285</v>
      </c>
      <c r="S224" s="15">
        <f>Fact_Table[[#This Row],[Diesel_Output_BPD]]/Fact_Table[[#This Row],[Capacity_BPD]]</f>
        <v>0.41186706637934006</v>
      </c>
      <c r="T224" s="15">
        <f>Fact_Table[[#This Row],[Gas_Output_BPD]]/Fact_Table[[#This Row],[Capacity_BPD]]</f>
        <v>0.13822424729173458</v>
      </c>
      <c r="U224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24" s="8">
        <f ca="1">YEAR(TODAY())-Fact_Table[[#This Row],[Commissioned_Year]]</f>
        <v>4</v>
      </c>
      <c r="W224" s="40" cm="1">
        <f t="array" ref="W224">_xlfn.XLOOKUP(Fact_Table[[#This Row],[Commissioned_Year]],cost_table[[#All],[Year]],cost_table[[#All],[Average_Crude_Price_USD_per_Barrel]],"0")</f>
        <v>54.2</v>
      </c>
      <c r="X224" s="40">
        <f>Fact_Table[[#This Row],[Capacity_BPD]]*Fact_Table[[#This Row],[cost per barrel]]</f>
        <v>40896176.399999999</v>
      </c>
    </row>
    <row r="225" spans="1:24" x14ac:dyDescent="0.35">
      <c r="A225" t="s">
        <v>45</v>
      </c>
      <c r="B225" t="s">
        <v>19</v>
      </c>
      <c r="C225" t="s">
        <v>33</v>
      </c>
      <c r="D225" s="5">
        <v>225453</v>
      </c>
      <c r="E225" s="5">
        <v>1982</v>
      </c>
      <c r="F225" s="5">
        <v>413</v>
      </c>
      <c r="G225" s="3" t="s">
        <v>31</v>
      </c>
      <c r="H225" s="4">
        <v>12.78</v>
      </c>
      <c r="I225" s="4">
        <v>8.2100000000000009</v>
      </c>
      <c r="J225" s="5">
        <v>86768</v>
      </c>
      <c r="K225" s="5">
        <v>99312</v>
      </c>
      <c r="L225" s="5">
        <v>39371</v>
      </c>
      <c r="M225" s="3" t="s">
        <v>38</v>
      </c>
      <c r="N225" s="10">
        <v>24730</v>
      </c>
      <c r="O225" s="12">
        <f>(Fact_Table[[#This Row],[Petrol_Output_BPD]]+Fact_Table[[#This Row],[Diesel_Output_BPD]]+Fact_Table[[#This Row],[Gas_Output_BPD]])/Fact_Table[[#This Row],[No_of_Employees]]</f>
        <v>545.88619854721549</v>
      </c>
      <c r="P225" s="2" t="str">
        <f>IF(Fact_Table[[#This Row],[0/P Producyivity/Day]]&gt;=1000,"High",IF(Fact_Table[[#This Row],[0/P Producyivity/Day]]&gt;=500,"Medium","Low"))</f>
        <v>Medium</v>
      </c>
      <c r="Q225" s="10">
        <f>Fact_Table[[#This Row],[Capacity_BPD]]/Fact_Table[[#This Row],[Average_Salary_AED]]</f>
        <v>9.1165790537808338</v>
      </c>
      <c r="R225" s="15">
        <f>(Fact_Table[[#This Row],[Petrol_Output_BPD]]/Fact_Table[[#This Row],[Capacity_BPD]])</f>
        <v>0.38486070267417155</v>
      </c>
      <c r="S225" s="15">
        <f>Fact_Table[[#This Row],[Diesel_Output_BPD]]/Fact_Table[[#This Row],[Capacity_BPD]]</f>
        <v>0.44049979374858617</v>
      </c>
      <c r="T225" s="15">
        <f>Fact_Table[[#This Row],[Gas_Output_BPD]]/Fact_Table[[#This Row],[Capacity_BPD]]</f>
        <v>0.17463063254869085</v>
      </c>
      <c r="U225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25" s="8">
        <f ca="1">YEAR(TODAY())-Fact_Table[[#This Row],[Commissioned_Year]]</f>
        <v>43</v>
      </c>
      <c r="W225" s="40" cm="1">
        <f t="array" ref="W225">_xlfn.XLOOKUP(Fact_Table[[#This Row],[Commissioned_Year]],cost_table[[#All],[Year]],cost_table[[#All],[Average_Crude_Price_USD_per_Barrel]],"0")</f>
        <v>32.799999999999997</v>
      </c>
      <c r="X225" s="40">
        <f>Fact_Table[[#This Row],[Capacity_BPD]]*Fact_Table[[#This Row],[cost per barrel]]</f>
        <v>7394858.3999999994</v>
      </c>
    </row>
    <row r="226" spans="1:24" x14ac:dyDescent="0.35">
      <c r="A226" t="s">
        <v>18</v>
      </c>
      <c r="B226" t="s">
        <v>32</v>
      </c>
      <c r="C226" t="s">
        <v>47</v>
      </c>
      <c r="D226" s="5">
        <v>874620</v>
      </c>
      <c r="E226" s="5">
        <v>2022</v>
      </c>
      <c r="F226" s="5">
        <v>1144</v>
      </c>
      <c r="G226" s="3" t="s">
        <v>16</v>
      </c>
      <c r="H226" s="4">
        <v>6.03</v>
      </c>
      <c r="I226" s="4">
        <v>6.39</v>
      </c>
      <c r="J226" s="5">
        <v>302081</v>
      </c>
      <c r="K226" s="5">
        <v>360450</v>
      </c>
      <c r="L226" s="5">
        <v>212088</v>
      </c>
      <c r="M226" s="3" t="s">
        <v>23</v>
      </c>
      <c r="N226" s="10">
        <v>21585</v>
      </c>
      <c r="O226" s="12">
        <f>(Fact_Table[[#This Row],[Petrol_Output_BPD]]+Fact_Table[[#This Row],[Diesel_Output_BPD]]+Fact_Table[[#This Row],[Gas_Output_BPD]])/Fact_Table[[#This Row],[No_of_Employees]]</f>
        <v>764.52709790209792</v>
      </c>
      <c r="P226" s="2" t="str">
        <f>IF(Fact_Table[[#This Row],[0/P Producyivity/Day]]&gt;=1000,"High",IF(Fact_Table[[#This Row],[0/P Producyivity/Day]]&gt;=500,"Medium","Low"))</f>
        <v>Medium</v>
      </c>
      <c r="Q226" s="10">
        <f>Fact_Table[[#This Row],[Capacity_BPD]]/Fact_Table[[#This Row],[Average_Salary_AED]]</f>
        <v>40.519805420430856</v>
      </c>
      <c r="R226" s="15">
        <f>(Fact_Table[[#This Row],[Petrol_Output_BPD]]/Fact_Table[[#This Row],[Capacity_BPD]])</f>
        <v>0.34538542452722326</v>
      </c>
      <c r="S226" s="15">
        <f>Fact_Table[[#This Row],[Diesel_Output_BPD]]/Fact_Table[[#This Row],[Capacity_BPD]]</f>
        <v>0.41212183576867667</v>
      </c>
      <c r="T226" s="15">
        <f>Fact_Table[[#This Row],[Gas_Output_BPD]]/Fact_Table[[#This Row],[Capacity_BPD]]</f>
        <v>0.24249159635041503</v>
      </c>
      <c r="U22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26" s="8">
        <f ca="1">YEAR(TODAY())-Fact_Table[[#This Row],[Commissioned_Year]]</f>
        <v>3</v>
      </c>
      <c r="W226" s="40" cm="1">
        <f t="array" ref="W226">_xlfn.XLOOKUP(Fact_Table[[#This Row],[Commissioned_Year]],cost_table[[#All],[Year]],cost_table[[#All],[Average_Crude_Price_USD_per_Barrel]],"0")</f>
        <v>71.3</v>
      </c>
      <c r="X226" s="40">
        <f>Fact_Table[[#This Row],[Capacity_BPD]]*Fact_Table[[#This Row],[cost per barrel]]</f>
        <v>62360406</v>
      </c>
    </row>
    <row r="227" spans="1:24" x14ac:dyDescent="0.35">
      <c r="A227" t="s">
        <v>30</v>
      </c>
      <c r="B227" t="s">
        <v>32</v>
      </c>
      <c r="C227" t="s">
        <v>48</v>
      </c>
      <c r="D227" s="5">
        <v>893009</v>
      </c>
      <c r="E227" s="5">
        <v>1980</v>
      </c>
      <c r="F227" s="5">
        <v>647</v>
      </c>
      <c r="G227" s="3" t="s">
        <v>16</v>
      </c>
      <c r="H227" s="4">
        <v>2.61</v>
      </c>
      <c r="I227" s="4">
        <v>8.19</v>
      </c>
      <c r="J227" s="5">
        <v>269274</v>
      </c>
      <c r="K227" s="5">
        <v>452646</v>
      </c>
      <c r="L227" s="5">
        <v>171088</v>
      </c>
      <c r="M227" s="3" t="s">
        <v>38</v>
      </c>
      <c r="N227" s="10">
        <v>22141</v>
      </c>
      <c r="O227" s="12">
        <f>(Fact_Table[[#This Row],[Petrol_Output_BPD]]+Fact_Table[[#This Row],[Diesel_Output_BPD]]+Fact_Table[[#This Row],[Gas_Output_BPD]])/Fact_Table[[#This Row],[No_of_Employees]]</f>
        <v>1380.2287480680061</v>
      </c>
      <c r="P227" s="2" t="str">
        <f>IF(Fact_Table[[#This Row],[0/P Producyivity/Day]]&gt;=1000,"High",IF(Fact_Table[[#This Row],[0/P Producyivity/Day]]&gt;=500,"Medium","Low"))</f>
        <v>High</v>
      </c>
      <c r="Q227" s="10">
        <f>Fact_Table[[#This Row],[Capacity_BPD]]/Fact_Table[[#This Row],[Average_Salary_AED]]</f>
        <v>40.332821462445239</v>
      </c>
      <c r="R227" s="15">
        <f>(Fact_Table[[#This Row],[Petrol_Output_BPD]]/Fact_Table[[#This Row],[Capacity_BPD]])</f>
        <v>0.30153559482603198</v>
      </c>
      <c r="S227" s="15">
        <f>Fact_Table[[#This Row],[Diesel_Output_BPD]]/Fact_Table[[#This Row],[Capacity_BPD]]</f>
        <v>0.50687731030706296</v>
      </c>
      <c r="T227" s="15">
        <f>Fact_Table[[#This Row],[Gas_Output_BPD]]/Fact_Table[[#This Row],[Capacity_BPD]]</f>
        <v>0.19158597505736225</v>
      </c>
      <c r="U227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27" s="8">
        <f ca="1">YEAR(TODAY())-Fact_Table[[#This Row],[Commissioned_Year]]</f>
        <v>45</v>
      </c>
      <c r="W227" s="40" cm="1">
        <f t="array" ref="W227">_xlfn.XLOOKUP(Fact_Table[[#This Row],[Commissioned_Year]],cost_table[[#All],[Year]],cost_table[[#All],[Average_Crude_Price_USD_per_Barrel]],"0")</f>
        <v>36.799999999999997</v>
      </c>
      <c r="X227" s="40">
        <f>Fact_Table[[#This Row],[Capacity_BPD]]*Fact_Table[[#This Row],[cost per barrel]]</f>
        <v>32862731.199999999</v>
      </c>
    </row>
    <row r="228" spans="1:24" x14ac:dyDescent="0.35">
      <c r="A228" t="s">
        <v>18</v>
      </c>
      <c r="B228" t="s">
        <v>25</v>
      </c>
      <c r="C228" t="s">
        <v>15</v>
      </c>
      <c r="D228" s="5">
        <v>875475</v>
      </c>
      <c r="E228" s="5">
        <v>1993</v>
      </c>
      <c r="F228" s="5">
        <v>1788</v>
      </c>
      <c r="G228" s="3" t="s">
        <v>21</v>
      </c>
      <c r="H228" s="4">
        <v>6.89</v>
      </c>
      <c r="I228" s="4">
        <v>6.74</v>
      </c>
      <c r="J228" s="5">
        <v>285493</v>
      </c>
      <c r="K228" s="5">
        <v>355048</v>
      </c>
      <c r="L228" s="5">
        <v>234932</v>
      </c>
      <c r="M228" s="3" t="s">
        <v>23</v>
      </c>
      <c r="N228" s="10">
        <v>18561</v>
      </c>
      <c r="O228" s="12">
        <f>(Fact_Table[[#This Row],[Petrol_Output_BPD]]+Fact_Table[[#This Row],[Diesel_Output_BPD]]+Fact_Table[[#This Row],[Gas_Output_BPD]])/Fact_Table[[#This Row],[No_of_Employees]]</f>
        <v>489.63814317673376</v>
      </c>
      <c r="P228" s="2" t="str">
        <f>IF(Fact_Table[[#This Row],[0/P Producyivity/Day]]&gt;=1000,"High",IF(Fact_Table[[#This Row],[0/P Producyivity/Day]]&gt;=500,"Medium","Low"))</f>
        <v>Low</v>
      </c>
      <c r="Q228" s="10">
        <f>Fact_Table[[#This Row],[Capacity_BPD]]/Fact_Table[[#This Row],[Average_Salary_AED]]</f>
        <v>47.167447874575721</v>
      </c>
      <c r="R228" s="15">
        <f>(Fact_Table[[#This Row],[Petrol_Output_BPD]]/Fact_Table[[#This Row],[Capacity_BPD]])</f>
        <v>0.32610068819783544</v>
      </c>
      <c r="S228" s="15">
        <f>Fact_Table[[#This Row],[Diesel_Output_BPD]]/Fact_Table[[#This Row],[Capacity_BPD]]</f>
        <v>0.40554898769239556</v>
      </c>
      <c r="T228" s="15">
        <f>Fact_Table[[#This Row],[Gas_Output_BPD]]/Fact_Table[[#This Row],[Capacity_BPD]]</f>
        <v>0.26834803963562637</v>
      </c>
      <c r="U22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28" s="8">
        <f ca="1">YEAR(TODAY())-Fact_Table[[#This Row],[Commissioned_Year]]</f>
        <v>32</v>
      </c>
      <c r="W228" s="40" cm="1">
        <f t="array" ref="W228">_xlfn.XLOOKUP(Fact_Table[[#This Row],[Commissioned_Year]],cost_table[[#All],[Year]],cost_table[[#All],[Average_Crude_Price_USD_per_Barrel]],"0")</f>
        <v>17</v>
      </c>
      <c r="X228" s="40">
        <f>Fact_Table[[#This Row],[Capacity_BPD]]*Fact_Table[[#This Row],[cost per barrel]]</f>
        <v>14883075</v>
      </c>
    </row>
    <row r="229" spans="1:24" x14ac:dyDescent="0.35">
      <c r="A229" t="s">
        <v>27</v>
      </c>
      <c r="B229" t="s">
        <v>26</v>
      </c>
      <c r="C229" t="s">
        <v>50</v>
      </c>
      <c r="D229" s="5">
        <v>153545</v>
      </c>
      <c r="E229" s="5">
        <v>2018</v>
      </c>
      <c r="F229" s="5">
        <v>707</v>
      </c>
      <c r="G229" s="3" t="s">
        <v>16</v>
      </c>
      <c r="H229" s="4">
        <v>15.29</v>
      </c>
      <c r="I229" s="4">
        <v>7.49</v>
      </c>
      <c r="J229" s="5">
        <v>53179</v>
      </c>
      <c r="K229" s="5">
        <v>72587</v>
      </c>
      <c r="L229" s="5">
        <v>27777</v>
      </c>
      <c r="M229" s="3" t="s">
        <v>29</v>
      </c>
      <c r="N229" s="10">
        <v>11633</v>
      </c>
      <c r="O229" s="12">
        <f>(Fact_Table[[#This Row],[Petrol_Output_BPD]]+Fact_Table[[#This Row],[Diesel_Output_BPD]]+Fact_Table[[#This Row],[Gas_Output_BPD]])/Fact_Table[[#This Row],[No_of_Employees]]</f>
        <v>217.17538896746817</v>
      </c>
      <c r="P229" s="2" t="str">
        <f>IF(Fact_Table[[#This Row],[0/P Producyivity/Day]]&gt;=1000,"High",IF(Fact_Table[[#This Row],[0/P Producyivity/Day]]&gt;=500,"Medium","Low"))</f>
        <v>Low</v>
      </c>
      <c r="Q229" s="10">
        <f>Fact_Table[[#This Row],[Capacity_BPD]]/Fact_Table[[#This Row],[Average_Salary_AED]]</f>
        <v>13.199088799105992</v>
      </c>
      <c r="R229" s="15">
        <f>(Fact_Table[[#This Row],[Petrol_Output_BPD]]/Fact_Table[[#This Row],[Capacity_BPD]])</f>
        <v>0.34634146341463412</v>
      </c>
      <c r="S229" s="15">
        <f>Fact_Table[[#This Row],[Diesel_Output_BPD]]/Fact_Table[[#This Row],[Capacity_BPD]]</f>
        <v>0.47274089029274807</v>
      </c>
      <c r="T229" s="15">
        <f>Fact_Table[[#This Row],[Gas_Output_BPD]]/Fact_Table[[#This Row],[Capacity_BPD]]</f>
        <v>0.18090462079520661</v>
      </c>
      <c r="U229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29" s="8">
        <f ca="1">YEAR(TODAY())-Fact_Table[[#This Row],[Commissioned_Year]]</f>
        <v>7</v>
      </c>
      <c r="W229" s="40" cm="1">
        <f t="array" ref="W229">_xlfn.XLOOKUP(Fact_Table[[#This Row],[Commissioned_Year]],cost_table[[#All],[Year]],cost_table[[#All],[Average_Crude_Price_USD_per_Barrel]],"0")</f>
        <v>100.2</v>
      </c>
      <c r="X229" s="40">
        <f>Fact_Table[[#This Row],[Capacity_BPD]]*Fact_Table[[#This Row],[cost per barrel]]</f>
        <v>15385209</v>
      </c>
    </row>
    <row r="230" spans="1:24" x14ac:dyDescent="0.35">
      <c r="A230" t="s">
        <v>45</v>
      </c>
      <c r="B230" t="s">
        <v>25</v>
      </c>
      <c r="C230" t="s">
        <v>15</v>
      </c>
      <c r="D230" s="5">
        <v>211188</v>
      </c>
      <c r="E230" s="5">
        <v>1998</v>
      </c>
      <c r="F230" s="5">
        <v>1773</v>
      </c>
      <c r="G230" s="3" t="s">
        <v>28</v>
      </c>
      <c r="H230" s="4">
        <v>29.87</v>
      </c>
      <c r="I230" s="4">
        <v>5.69</v>
      </c>
      <c r="J230" s="5">
        <v>90551</v>
      </c>
      <c r="K230" s="5">
        <v>76466</v>
      </c>
      <c r="L230" s="5">
        <v>44169</v>
      </c>
      <c r="M230" s="3" t="s">
        <v>17</v>
      </c>
      <c r="N230" s="10">
        <v>8970</v>
      </c>
      <c r="O230" s="12">
        <f>(Fact_Table[[#This Row],[Petrol_Output_BPD]]+Fact_Table[[#This Row],[Diesel_Output_BPD]]+Fact_Table[[#This Row],[Gas_Output_BPD]])/Fact_Table[[#This Row],[No_of_Employees]]</f>
        <v>119.112239142696</v>
      </c>
      <c r="P230" s="2" t="str">
        <f>IF(Fact_Table[[#This Row],[0/P Producyivity/Day]]&gt;=1000,"High",IF(Fact_Table[[#This Row],[0/P Producyivity/Day]]&gt;=500,"Medium","Low"))</f>
        <v>Low</v>
      </c>
      <c r="Q230" s="10">
        <f>Fact_Table[[#This Row],[Capacity_BPD]]/Fact_Table[[#This Row],[Average_Salary_AED]]</f>
        <v>23.543812709030099</v>
      </c>
      <c r="R230" s="15">
        <f>(Fact_Table[[#This Row],[Petrol_Output_BPD]]/Fact_Table[[#This Row],[Capacity_BPD]])</f>
        <v>0.42876962706214367</v>
      </c>
      <c r="S230" s="15">
        <f>Fact_Table[[#This Row],[Diesel_Output_BPD]]/Fact_Table[[#This Row],[Capacity_BPD]]</f>
        <v>0.36207549671382844</v>
      </c>
      <c r="T230" s="15">
        <f>Fact_Table[[#This Row],[Gas_Output_BPD]]/Fact_Table[[#This Row],[Capacity_BPD]]</f>
        <v>0.20914540598897666</v>
      </c>
      <c r="U230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30" s="8">
        <f ca="1">YEAR(TODAY())-Fact_Table[[#This Row],[Commissioned_Year]]</f>
        <v>27</v>
      </c>
      <c r="W230" s="40" cm="1">
        <f t="array" ref="W230">_xlfn.XLOOKUP(Fact_Table[[#This Row],[Commissioned_Year]],cost_table[[#All],[Year]],cost_table[[#All],[Average_Crude_Price_USD_per_Barrel]],"0")</f>
        <v>12.8</v>
      </c>
      <c r="X230" s="40">
        <f>Fact_Table[[#This Row],[Capacity_BPD]]*Fact_Table[[#This Row],[cost per barrel]]</f>
        <v>2703206.4000000004</v>
      </c>
    </row>
    <row r="231" spans="1:24" x14ac:dyDescent="0.35">
      <c r="A231" t="s">
        <v>24</v>
      </c>
      <c r="B231" t="s">
        <v>41</v>
      </c>
      <c r="C231" t="s">
        <v>33</v>
      </c>
      <c r="D231" s="5">
        <v>797670</v>
      </c>
      <c r="E231" s="5">
        <v>2012</v>
      </c>
      <c r="F231" s="5">
        <v>1138</v>
      </c>
      <c r="G231" s="3" t="s">
        <v>28</v>
      </c>
      <c r="H231" s="4">
        <v>22.33</v>
      </c>
      <c r="I231" s="4">
        <v>7.03</v>
      </c>
      <c r="J231" s="5">
        <v>307951</v>
      </c>
      <c r="K231" s="5">
        <v>317983</v>
      </c>
      <c r="L231" s="5">
        <v>171735</v>
      </c>
      <c r="M231" s="3" t="s">
        <v>34</v>
      </c>
      <c r="N231" s="10">
        <v>18576</v>
      </c>
      <c r="O231" s="12">
        <f>(Fact_Table[[#This Row],[Petrol_Output_BPD]]+Fact_Table[[#This Row],[Diesel_Output_BPD]]+Fact_Table[[#This Row],[Gas_Output_BPD]])/Fact_Table[[#This Row],[No_of_Employees]]</f>
        <v>700.93936731107203</v>
      </c>
      <c r="P231" s="2" t="str">
        <f>IF(Fact_Table[[#This Row],[0/P Producyivity/Day]]&gt;=1000,"High",IF(Fact_Table[[#This Row],[0/P Producyivity/Day]]&gt;=500,"Medium","Low"))</f>
        <v>Medium</v>
      </c>
      <c r="Q231" s="10">
        <f>Fact_Table[[#This Row],[Capacity_BPD]]/Fact_Table[[#This Row],[Average_Salary_AED]]</f>
        <v>42.940891472868216</v>
      </c>
      <c r="R231" s="15">
        <f>(Fact_Table[[#This Row],[Petrol_Output_BPD]]/Fact_Table[[#This Row],[Capacity_BPD]])</f>
        <v>0.38606315895044319</v>
      </c>
      <c r="S231" s="15">
        <f>Fact_Table[[#This Row],[Diesel_Output_BPD]]/Fact_Table[[#This Row],[Capacity_BPD]]</f>
        <v>0.39863978838366743</v>
      </c>
      <c r="T231" s="15">
        <f>Fact_Table[[#This Row],[Gas_Output_BPD]]/Fact_Table[[#This Row],[Capacity_BPD]]</f>
        <v>0.21529579901463011</v>
      </c>
      <c r="U23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31" s="8">
        <f ca="1">YEAR(TODAY())-Fact_Table[[#This Row],[Commissioned_Year]]</f>
        <v>13</v>
      </c>
      <c r="W231" s="40" cm="1">
        <f t="array" ref="W231">_xlfn.XLOOKUP(Fact_Table[[#This Row],[Commissioned_Year]],cost_table[[#All],[Year]],cost_table[[#All],[Average_Crude_Price_USD_per_Barrel]],"0")</f>
        <v>72.400000000000006</v>
      </c>
      <c r="X231" s="40">
        <f>Fact_Table[[#This Row],[Capacity_BPD]]*Fact_Table[[#This Row],[cost per barrel]]</f>
        <v>57751308.000000007</v>
      </c>
    </row>
    <row r="232" spans="1:24" x14ac:dyDescent="0.35">
      <c r="A232" t="s">
        <v>35</v>
      </c>
      <c r="B232" t="s">
        <v>25</v>
      </c>
      <c r="C232" t="s">
        <v>50</v>
      </c>
      <c r="D232" s="5">
        <v>880084</v>
      </c>
      <c r="E232" s="5">
        <v>2004</v>
      </c>
      <c r="F232" s="5">
        <v>1205</v>
      </c>
      <c r="G232" s="3" t="s">
        <v>31</v>
      </c>
      <c r="H232" s="4">
        <v>20.55</v>
      </c>
      <c r="I232" s="4">
        <v>8.51</v>
      </c>
      <c r="J232" s="5">
        <v>340209</v>
      </c>
      <c r="K232" s="5">
        <v>379097</v>
      </c>
      <c r="L232" s="5">
        <v>160776</v>
      </c>
      <c r="M232" s="3" t="s">
        <v>23</v>
      </c>
      <c r="N232" s="10">
        <v>20961</v>
      </c>
      <c r="O232" s="12">
        <f>(Fact_Table[[#This Row],[Petrol_Output_BPD]]+Fact_Table[[#This Row],[Diesel_Output_BPD]]+Fact_Table[[#This Row],[Gas_Output_BPD]])/Fact_Table[[#This Row],[No_of_Employees]]</f>
        <v>730.35850622406645</v>
      </c>
      <c r="P232" s="2" t="str">
        <f>IF(Fact_Table[[#This Row],[0/P Producyivity/Day]]&gt;=1000,"High",IF(Fact_Table[[#This Row],[0/P Producyivity/Day]]&gt;=500,"Medium","Low"))</f>
        <v>Medium</v>
      </c>
      <c r="Q232" s="10">
        <f>Fact_Table[[#This Row],[Capacity_BPD]]/Fact_Table[[#This Row],[Average_Salary_AED]]</f>
        <v>41.986737273985021</v>
      </c>
      <c r="R232" s="15">
        <f>(Fact_Table[[#This Row],[Petrol_Output_BPD]]/Fact_Table[[#This Row],[Capacity_BPD]])</f>
        <v>0.38656423705009979</v>
      </c>
      <c r="S232" s="15">
        <f>Fact_Table[[#This Row],[Diesel_Output_BPD]]/Fact_Table[[#This Row],[Capacity_BPD]]</f>
        <v>0.43075092832047851</v>
      </c>
      <c r="T232" s="15">
        <f>Fact_Table[[#This Row],[Gas_Output_BPD]]/Fact_Table[[#This Row],[Capacity_BPD]]</f>
        <v>0.18268256211907044</v>
      </c>
      <c r="U232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32" s="8">
        <f ca="1">YEAR(TODAY())-Fact_Table[[#This Row],[Commissioned_Year]]</f>
        <v>21</v>
      </c>
      <c r="W232" s="40" cm="1">
        <f t="array" ref="W232">_xlfn.XLOOKUP(Fact_Table[[#This Row],[Commissioned_Year]],cost_table[[#All],[Year]],cost_table[[#All],[Average_Crude_Price_USD_per_Barrel]],"0")</f>
        <v>18.600000000000001</v>
      </c>
      <c r="X232" s="40">
        <f>Fact_Table[[#This Row],[Capacity_BPD]]*Fact_Table[[#This Row],[cost per barrel]]</f>
        <v>16369562.4</v>
      </c>
    </row>
    <row r="233" spans="1:24" x14ac:dyDescent="0.35">
      <c r="A233" t="s">
        <v>22</v>
      </c>
      <c r="B233" t="s">
        <v>40</v>
      </c>
      <c r="C233" t="s">
        <v>39</v>
      </c>
      <c r="D233" s="5">
        <v>67943</v>
      </c>
      <c r="E233" s="5">
        <v>1981</v>
      </c>
      <c r="F233" s="5">
        <v>1086</v>
      </c>
      <c r="G233" s="3" t="s">
        <v>31</v>
      </c>
      <c r="H233" s="4">
        <v>9.86</v>
      </c>
      <c r="I233" s="4">
        <v>9.91</v>
      </c>
      <c r="J233" s="5">
        <v>26854</v>
      </c>
      <c r="K233" s="5">
        <v>31050</v>
      </c>
      <c r="L233" s="5">
        <v>10037</v>
      </c>
      <c r="M233" s="3" t="s">
        <v>38</v>
      </c>
      <c r="N233" s="10">
        <v>10231</v>
      </c>
      <c r="O233" s="12">
        <f>(Fact_Table[[#This Row],[Petrol_Output_BPD]]+Fact_Table[[#This Row],[Diesel_Output_BPD]]+Fact_Table[[#This Row],[Gas_Output_BPD]])/Fact_Table[[#This Row],[No_of_Employees]]</f>
        <v>62.560773480662981</v>
      </c>
      <c r="P233" s="2" t="str">
        <f>IF(Fact_Table[[#This Row],[0/P Producyivity/Day]]&gt;=1000,"High",IF(Fact_Table[[#This Row],[0/P Producyivity/Day]]&gt;=500,"Medium","Low"))</f>
        <v>Low</v>
      </c>
      <c r="Q233" s="10">
        <f>Fact_Table[[#This Row],[Capacity_BPD]]/Fact_Table[[#This Row],[Average_Salary_AED]]</f>
        <v>6.6408953181507187</v>
      </c>
      <c r="R233" s="15">
        <f>(Fact_Table[[#This Row],[Petrol_Output_BPD]]/Fact_Table[[#This Row],[Capacity_BPD]])</f>
        <v>0.39524307139808368</v>
      </c>
      <c r="S233" s="15">
        <f>Fact_Table[[#This Row],[Diesel_Output_BPD]]/Fact_Table[[#This Row],[Capacity_BPD]]</f>
        <v>0.45700072119276453</v>
      </c>
      <c r="T233" s="15">
        <f>Fact_Table[[#This Row],[Gas_Output_BPD]]/Fact_Table[[#This Row],[Capacity_BPD]]</f>
        <v>0.14772677096978348</v>
      </c>
      <c r="U233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33" s="8">
        <f ca="1">YEAR(TODAY())-Fact_Table[[#This Row],[Commissioned_Year]]</f>
        <v>44</v>
      </c>
      <c r="W233" s="40" cm="1">
        <f t="array" ref="W233">_xlfn.XLOOKUP(Fact_Table[[#This Row],[Commissioned_Year]],cost_table[[#All],[Year]],cost_table[[#All],[Average_Crude_Price_USD_per_Barrel]],"0")</f>
        <v>35.700000000000003</v>
      </c>
      <c r="X233" s="40">
        <f>Fact_Table[[#This Row],[Capacity_BPD]]*Fact_Table[[#This Row],[cost per barrel]]</f>
        <v>2425565.1</v>
      </c>
    </row>
    <row r="234" spans="1:24" x14ac:dyDescent="0.35">
      <c r="A234" t="s">
        <v>36</v>
      </c>
      <c r="B234" t="s">
        <v>40</v>
      </c>
      <c r="C234" t="s">
        <v>51</v>
      </c>
      <c r="D234" s="5">
        <v>624490</v>
      </c>
      <c r="E234" s="5">
        <v>2013</v>
      </c>
      <c r="F234" s="5">
        <v>1316</v>
      </c>
      <c r="G234" s="3" t="s">
        <v>28</v>
      </c>
      <c r="H234" s="4">
        <v>27.6</v>
      </c>
      <c r="I234" s="4">
        <v>8.74</v>
      </c>
      <c r="J234" s="5">
        <v>276704</v>
      </c>
      <c r="K234" s="5">
        <v>222267</v>
      </c>
      <c r="L234" s="5">
        <v>125517</v>
      </c>
      <c r="M234" s="3" t="s">
        <v>29</v>
      </c>
      <c r="N234" s="10">
        <v>13811</v>
      </c>
      <c r="O234" s="12">
        <f>(Fact_Table[[#This Row],[Petrol_Output_BPD]]+Fact_Table[[#This Row],[Diesel_Output_BPD]]+Fact_Table[[#This Row],[Gas_Output_BPD]])/Fact_Table[[#This Row],[No_of_Employees]]</f>
        <v>474.53495440729483</v>
      </c>
      <c r="P234" s="2" t="str">
        <f>IF(Fact_Table[[#This Row],[0/P Producyivity/Day]]&gt;=1000,"High",IF(Fact_Table[[#This Row],[0/P Producyivity/Day]]&gt;=500,"Medium","Low"))</f>
        <v>Low</v>
      </c>
      <c r="Q234" s="10">
        <f>Fact_Table[[#This Row],[Capacity_BPD]]/Fact_Table[[#This Row],[Average_Salary_AED]]</f>
        <v>45.216856129172399</v>
      </c>
      <c r="R234" s="15">
        <f>(Fact_Table[[#This Row],[Petrol_Output_BPD]]/Fact_Table[[#This Row],[Capacity_BPD]])</f>
        <v>0.44308795977517657</v>
      </c>
      <c r="S234" s="15">
        <f>Fact_Table[[#This Row],[Diesel_Output_BPD]]/Fact_Table[[#This Row],[Capacity_BPD]]</f>
        <v>0.35591762878508865</v>
      </c>
      <c r="T234" s="15">
        <f>Fact_Table[[#This Row],[Gas_Output_BPD]]/Fact_Table[[#This Row],[Capacity_BPD]]</f>
        <v>0.20099120882640234</v>
      </c>
      <c r="U234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34" s="8">
        <f ca="1">YEAR(TODAY())-Fact_Table[[#This Row],[Commissioned_Year]]</f>
        <v>12</v>
      </c>
      <c r="W234" s="40" cm="1">
        <f t="array" ref="W234">_xlfn.XLOOKUP(Fact_Table[[#This Row],[Commissioned_Year]],cost_table[[#All],[Year]],cost_table[[#All],[Average_Crude_Price_USD_per_Barrel]],"0")</f>
        <v>97.3</v>
      </c>
      <c r="X234" s="40">
        <f>Fact_Table[[#This Row],[Capacity_BPD]]*Fact_Table[[#This Row],[cost per barrel]]</f>
        <v>60762877</v>
      </c>
    </row>
    <row r="235" spans="1:24" x14ac:dyDescent="0.35">
      <c r="A235" t="s">
        <v>27</v>
      </c>
      <c r="B235" t="s">
        <v>19</v>
      </c>
      <c r="C235" t="s">
        <v>20</v>
      </c>
      <c r="D235" s="5">
        <v>743338</v>
      </c>
      <c r="E235" s="5">
        <v>2013</v>
      </c>
      <c r="F235" s="5">
        <v>1305</v>
      </c>
      <c r="G235" s="3" t="s">
        <v>21</v>
      </c>
      <c r="H235" s="4">
        <v>13.06</v>
      </c>
      <c r="I235" s="4">
        <v>8.09</v>
      </c>
      <c r="J235" s="5">
        <v>295086</v>
      </c>
      <c r="K235" s="5">
        <v>291265</v>
      </c>
      <c r="L235" s="5">
        <v>156986</v>
      </c>
      <c r="M235" s="3" t="s">
        <v>23</v>
      </c>
      <c r="N235" s="10">
        <v>9676</v>
      </c>
      <c r="O235" s="12">
        <f>(Fact_Table[[#This Row],[Petrol_Output_BPD]]+Fact_Table[[#This Row],[Diesel_Output_BPD]]+Fact_Table[[#This Row],[Gas_Output_BPD]])/Fact_Table[[#This Row],[No_of_Employees]]</f>
        <v>569.60689655172416</v>
      </c>
      <c r="P235" s="2" t="str">
        <f>IF(Fact_Table[[#This Row],[0/P Producyivity/Day]]&gt;=1000,"High",IF(Fact_Table[[#This Row],[0/P Producyivity/Day]]&gt;=500,"Medium","Low"))</f>
        <v>Medium</v>
      </c>
      <c r="Q235" s="10">
        <f>Fact_Table[[#This Row],[Capacity_BPD]]/Fact_Table[[#This Row],[Average_Salary_AED]]</f>
        <v>76.82286068623398</v>
      </c>
      <c r="R235" s="15">
        <f>(Fact_Table[[#This Row],[Petrol_Output_BPD]]/Fact_Table[[#This Row],[Capacity_BPD]])</f>
        <v>0.3969741893997078</v>
      </c>
      <c r="S235" s="15">
        <f>Fact_Table[[#This Row],[Diesel_Output_BPD]]/Fact_Table[[#This Row],[Capacity_BPD]]</f>
        <v>0.39183386292642108</v>
      </c>
      <c r="T235" s="15">
        <f>Fact_Table[[#This Row],[Gas_Output_BPD]]/Fact_Table[[#This Row],[Capacity_BPD]]</f>
        <v>0.21119060239083701</v>
      </c>
      <c r="U235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35" s="8">
        <f ca="1">YEAR(TODAY())-Fact_Table[[#This Row],[Commissioned_Year]]</f>
        <v>12</v>
      </c>
      <c r="W235" s="40" cm="1">
        <f t="array" ref="W235">_xlfn.XLOOKUP(Fact_Table[[#This Row],[Commissioned_Year]],cost_table[[#All],[Year]],cost_table[[#All],[Average_Crude_Price_USD_per_Barrel]],"0")</f>
        <v>97.3</v>
      </c>
      <c r="X235" s="40">
        <f>Fact_Table[[#This Row],[Capacity_BPD]]*Fact_Table[[#This Row],[cost per barrel]]</f>
        <v>72326787.399999991</v>
      </c>
    </row>
    <row r="236" spans="1:24" x14ac:dyDescent="0.35">
      <c r="A236" t="s">
        <v>24</v>
      </c>
      <c r="B236" t="s">
        <v>41</v>
      </c>
      <c r="C236" t="s">
        <v>49</v>
      </c>
      <c r="D236" s="5">
        <v>85843</v>
      </c>
      <c r="E236" s="5">
        <v>1995</v>
      </c>
      <c r="F236" s="5">
        <v>1285</v>
      </c>
      <c r="G236" s="3" t="s">
        <v>21</v>
      </c>
      <c r="H236" s="4">
        <v>5.29</v>
      </c>
      <c r="I236" s="4">
        <v>7.09</v>
      </c>
      <c r="J236" s="5">
        <v>32431</v>
      </c>
      <c r="K236" s="5">
        <v>37233</v>
      </c>
      <c r="L236" s="5">
        <v>16178</v>
      </c>
      <c r="M236" s="3" t="s">
        <v>17</v>
      </c>
      <c r="N236" s="10">
        <v>23964</v>
      </c>
      <c r="O236" s="12">
        <f>(Fact_Table[[#This Row],[Petrol_Output_BPD]]+Fact_Table[[#This Row],[Diesel_Output_BPD]]+Fact_Table[[#This Row],[Gas_Output_BPD]])/Fact_Table[[#This Row],[No_of_Employees]]</f>
        <v>66.803112840466923</v>
      </c>
      <c r="P236" s="2" t="str">
        <f>IF(Fact_Table[[#This Row],[0/P Producyivity/Day]]&gt;=1000,"High",IF(Fact_Table[[#This Row],[0/P Producyivity/Day]]&gt;=500,"Medium","Low"))</f>
        <v>Low</v>
      </c>
      <c r="Q236" s="10">
        <f>Fact_Table[[#This Row],[Capacity_BPD]]/Fact_Table[[#This Row],[Average_Salary_AED]]</f>
        <v>3.5821649140377234</v>
      </c>
      <c r="R236" s="15">
        <f>(Fact_Table[[#This Row],[Petrol_Output_BPD]]/Fact_Table[[#This Row],[Capacity_BPD]])</f>
        <v>0.3777943454911874</v>
      </c>
      <c r="S236" s="15">
        <f>Fact_Table[[#This Row],[Diesel_Output_BPD]]/Fact_Table[[#This Row],[Capacity_BPD]]</f>
        <v>0.43373367659564555</v>
      </c>
      <c r="T236" s="15">
        <f>Fact_Table[[#This Row],[Gas_Output_BPD]]/Fact_Table[[#This Row],[Capacity_BPD]]</f>
        <v>0.18846032873967591</v>
      </c>
      <c r="U23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36" s="8">
        <f ca="1">YEAR(TODAY())-Fact_Table[[#This Row],[Commissioned_Year]]</f>
        <v>30</v>
      </c>
      <c r="W236" s="40" cm="1">
        <f t="array" ref="W236">_xlfn.XLOOKUP(Fact_Table[[#This Row],[Commissioned_Year]],cost_table[[#All],[Year]],cost_table[[#All],[Average_Crude_Price_USD_per_Barrel]],"0")</f>
        <v>20.100000000000001</v>
      </c>
      <c r="X236" s="40">
        <f>Fact_Table[[#This Row],[Capacity_BPD]]*Fact_Table[[#This Row],[cost per barrel]]</f>
        <v>1725444.3</v>
      </c>
    </row>
    <row r="237" spans="1:24" x14ac:dyDescent="0.35">
      <c r="A237" t="s">
        <v>60</v>
      </c>
      <c r="B237" t="s">
        <v>32</v>
      </c>
      <c r="C237" t="s">
        <v>49</v>
      </c>
      <c r="D237" s="5">
        <v>129463</v>
      </c>
      <c r="E237" s="5">
        <v>2012</v>
      </c>
      <c r="F237" s="5">
        <v>850</v>
      </c>
      <c r="G237" s="3" t="s">
        <v>28</v>
      </c>
      <c r="H237" s="4">
        <v>27.52</v>
      </c>
      <c r="I237" s="4">
        <v>9.89</v>
      </c>
      <c r="J237" s="5">
        <v>48205</v>
      </c>
      <c r="K237" s="5">
        <v>58672</v>
      </c>
      <c r="L237" s="5">
        <v>22584</v>
      </c>
      <c r="M237" s="3" t="s">
        <v>38</v>
      </c>
      <c r="N237" s="10">
        <v>15180</v>
      </c>
      <c r="O237" s="12">
        <f>(Fact_Table[[#This Row],[Petrol_Output_BPD]]+Fact_Table[[#This Row],[Diesel_Output_BPD]]+Fact_Table[[#This Row],[Gas_Output_BPD]])/Fact_Table[[#This Row],[No_of_Employees]]</f>
        <v>152.30705882352942</v>
      </c>
      <c r="P237" s="2" t="str">
        <f>IF(Fact_Table[[#This Row],[0/P Producyivity/Day]]&gt;=1000,"High",IF(Fact_Table[[#This Row],[0/P Producyivity/Day]]&gt;=500,"Medium","Low"))</f>
        <v>Low</v>
      </c>
      <c r="Q237" s="10">
        <f>Fact_Table[[#This Row],[Capacity_BPD]]/Fact_Table[[#This Row],[Average_Salary_AED]]</f>
        <v>8.5285243741765484</v>
      </c>
      <c r="R237" s="15">
        <f>(Fact_Table[[#This Row],[Petrol_Output_BPD]]/Fact_Table[[#This Row],[Capacity_BPD]])</f>
        <v>0.37234576674416631</v>
      </c>
      <c r="S237" s="15">
        <f>Fact_Table[[#This Row],[Diesel_Output_BPD]]/Fact_Table[[#This Row],[Capacity_BPD]]</f>
        <v>0.45319512138603307</v>
      </c>
      <c r="T237" s="15">
        <f>Fact_Table[[#This Row],[Gas_Output_BPD]]/Fact_Table[[#This Row],[Capacity_BPD]]</f>
        <v>0.17444366344051968</v>
      </c>
      <c r="U237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37" s="8">
        <f ca="1">YEAR(TODAY())-Fact_Table[[#This Row],[Commissioned_Year]]</f>
        <v>13</v>
      </c>
      <c r="W237" s="40" cm="1">
        <f t="array" ref="W237">_xlfn.XLOOKUP(Fact_Table[[#This Row],[Commissioned_Year]],cost_table[[#All],[Year]],cost_table[[#All],[Average_Crude_Price_USD_per_Barrel]],"0")</f>
        <v>72.400000000000006</v>
      </c>
      <c r="X237" s="40">
        <f>Fact_Table[[#This Row],[Capacity_BPD]]*Fact_Table[[#This Row],[cost per barrel]]</f>
        <v>9373121.2000000011</v>
      </c>
    </row>
    <row r="238" spans="1:24" x14ac:dyDescent="0.35">
      <c r="A238" t="s">
        <v>18</v>
      </c>
      <c r="B238" t="s">
        <v>19</v>
      </c>
      <c r="C238" t="s">
        <v>39</v>
      </c>
      <c r="D238" s="5">
        <v>101554</v>
      </c>
      <c r="E238" s="5">
        <v>1989</v>
      </c>
      <c r="F238" s="5">
        <v>920</v>
      </c>
      <c r="G238" s="3" t="s">
        <v>28</v>
      </c>
      <c r="H238" s="4">
        <v>25.57</v>
      </c>
      <c r="I238" s="4">
        <v>5.68</v>
      </c>
      <c r="J238" s="5">
        <v>46585</v>
      </c>
      <c r="K238" s="5">
        <v>40121</v>
      </c>
      <c r="L238" s="5">
        <v>14847</v>
      </c>
      <c r="M238" s="3" t="s">
        <v>29</v>
      </c>
      <c r="N238" s="10">
        <v>13750</v>
      </c>
      <c r="O238" s="12">
        <f>(Fact_Table[[#This Row],[Petrol_Output_BPD]]+Fact_Table[[#This Row],[Diesel_Output_BPD]]+Fact_Table[[#This Row],[Gas_Output_BPD]])/Fact_Table[[#This Row],[No_of_Employees]]</f>
        <v>110.38369565217391</v>
      </c>
      <c r="P238" s="2" t="str">
        <f>IF(Fact_Table[[#This Row],[0/P Producyivity/Day]]&gt;=1000,"High",IF(Fact_Table[[#This Row],[0/P Producyivity/Day]]&gt;=500,"Medium","Low"))</f>
        <v>Low</v>
      </c>
      <c r="Q238" s="10">
        <f>Fact_Table[[#This Row],[Capacity_BPD]]/Fact_Table[[#This Row],[Average_Salary_AED]]</f>
        <v>7.3857454545454546</v>
      </c>
      <c r="R238" s="15">
        <f>(Fact_Table[[#This Row],[Petrol_Output_BPD]]/Fact_Table[[#This Row],[Capacity_BPD]])</f>
        <v>0.45872146838135375</v>
      </c>
      <c r="S238" s="15">
        <f>Fact_Table[[#This Row],[Diesel_Output_BPD]]/Fact_Table[[#This Row],[Capacity_BPD]]</f>
        <v>0.39507060283199086</v>
      </c>
      <c r="T238" s="15">
        <f>Fact_Table[[#This Row],[Gas_Output_BPD]]/Fact_Table[[#This Row],[Capacity_BPD]]</f>
        <v>0.14619808180869293</v>
      </c>
      <c r="U23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38" s="8">
        <f ca="1">YEAR(TODAY())-Fact_Table[[#This Row],[Commissioned_Year]]</f>
        <v>36</v>
      </c>
      <c r="W238" s="40" cm="1">
        <f t="array" ref="W238">_xlfn.XLOOKUP(Fact_Table[[#This Row],[Commissioned_Year]],cost_table[[#All],[Year]],cost_table[[#All],[Average_Crude_Price_USD_per_Barrel]],"0")</f>
        <v>18.2</v>
      </c>
      <c r="X238" s="40">
        <f>Fact_Table[[#This Row],[Capacity_BPD]]*Fact_Table[[#This Row],[cost per barrel]]</f>
        <v>1848282.7999999998</v>
      </c>
    </row>
    <row r="239" spans="1:24" x14ac:dyDescent="0.35">
      <c r="A239" t="s">
        <v>60</v>
      </c>
      <c r="B239" t="s">
        <v>32</v>
      </c>
      <c r="C239" t="s">
        <v>46</v>
      </c>
      <c r="D239" s="5">
        <v>596958</v>
      </c>
      <c r="E239" s="5">
        <v>1977</v>
      </c>
      <c r="F239" s="5">
        <v>561</v>
      </c>
      <c r="G239" s="3" t="s">
        <v>16</v>
      </c>
      <c r="H239" s="4">
        <v>17.41</v>
      </c>
      <c r="I239" s="4">
        <v>8.36</v>
      </c>
      <c r="J239" s="5">
        <v>238922</v>
      </c>
      <c r="K239" s="5">
        <v>225323</v>
      </c>
      <c r="L239" s="5">
        <v>132712</v>
      </c>
      <c r="M239" s="3" t="s">
        <v>34</v>
      </c>
      <c r="N239" s="10">
        <v>11683</v>
      </c>
      <c r="O239" s="12">
        <f>(Fact_Table[[#This Row],[Petrol_Output_BPD]]+Fact_Table[[#This Row],[Diesel_Output_BPD]]+Fact_Table[[#This Row],[Gas_Output_BPD]])/Fact_Table[[#This Row],[No_of_Employees]]</f>
        <v>1064.0944741532976</v>
      </c>
      <c r="P239" s="2" t="str">
        <f>IF(Fact_Table[[#This Row],[0/P Producyivity/Day]]&gt;=1000,"High",IF(Fact_Table[[#This Row],[0/P Producyivity/Day]]&gt;=500,"Medium","Low"))</f>
        <v>High</v>
      </c>
      <c r="Q239" s="10">
        <f>Fact_Table[[#This Row],[Capacity_BPD]]/Fact_Table[[#This Row],[Average_Salary_AED]]</f>
        <v>51.096293760164343</v>
      </c>
      <c r="R239" s="15">
        <f>(Fact_Table[[#This Row],[Petrol_Output_BPD]]/Fact_Table[[#This Row],[Capacity_BPD]])</f>
        <v>0.40023251217003541</v>
      </c>
      <c r="S239" s="15">
        <f>Fact_Table[[#This Row],[Diesel_Output_BPD]]/Fact_Table[[#This Row],[Capacity_BPD]]</f>
        <v>0.37745201504963499</v>
      </c>
      <c r="T239" s="15">
        <f>Fact_Table[[#This Row],[Gas_Output_BPD]]/Fact_Table[[#This Row],[Capacity_BPD]]</f>
        <v>0.22231379762060313</v>
      </c>
      <c r="U239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39" s="8">
        <f ca="1">YEAR(TODAY())-Fact_Table[[#This Row],[Commissioned_Year]]</f>
        <v>48</v>
      </c>
      <c r="W239" s="40" cm="1">
        <f t="array" ref="W239">_xlfn.XLOOKUP(Fact_Table[[#This Row],[Commissioned_Year]],cost_table[[#All],[Year]],cost_table[[#All],[Average_Crude_Price_USD_per_Barrel]],"0")</f>
        <v>12.8</v>
      </c>
      <c r="X239" s="40">
        <f>Fact_Table[[#This Row],[Capacity_BPD]]*Fact_Table[[#This Row],[cost per barrel]]</f>
        <v>7641062.4000000004</v>
      </c>
    </row>
    <row r="240" spans="1:24" x14ac:dyDescent="0.35">
      <c r="A240" t="s">
        <v>35</v>
      </c>
      <c r="B240" t="s">
        <v>40</v>
      </c>
      <c r="C240" t="s">
        <v>51</v>
      </c>
      <c r="D240" s="5">
        <v>575335</v>
      </c>
      <c r="E240" s="5">
        <v>1986</v>
      </c>
      <c r="F240" s="5">
        <v>1395</v>
      </c>
      <c r="G240" s="3" t="s">
        <v>16</v>
      </c>
      <c r="H240" s="4">
        <v>12.19</v>
      </c>
      <c r="I240" s="4">
        <v>9.89</v>
      </c>
      <c r="J240" s="5">
        <v>262690</v>
      </c>
      <c r="K240" s="5">
        <v>232297</v>
      </c>
      <c r="L240" s="5">
        <v>80347</v>
      </c>
      <c r="M240" s="3" t="s">
        <v>17</v>
      </c>
      <c r="N240" s="10">
        <v>21432</v>
      </c>
      <c r="O240" s="12">
        <f>(Fact_Table[[#This Row],[Petrol_Output_BPD]]+Fact_Table[[#This Row],[Diesel_Output_BPD]]+Fact_Table[[#This Row],[Gas_Output_BPD]])/Fact_Table[[#This Row],[No_of_Employees]]</f>
        <v>412.42580645161291</v>
      </c>
      <c r="P240" s="2" t="str">
        <f>IF(Fact_Table[[#This Row],[0/P Producyivity/Day]]&gt;=1000,"High",IF(Fact_Table[[#This Row],[0/P Producyivity/Day]]&gt;=500,"Medium","Low"))</f>
        <v>Low</v>
      </c>
      <c r="Q240" s="10">
        <f>Fact_Table[[#This Row],[Capacity_BPD]]/Fact_Table[[#This Row],[Average_Salary_AED]]</f>
        <v>26.844671519223592</v>
      </c>
      <c r="R240" s="15">
        <f>(Fact_Table[[#This Row],[Petrol_Output_BPD]]/Fact_Table[[#This Row],[Capacity_BPD]])</f>
        <v>0.45658616284425596</v>
      </c>
      <c r="S240" s="15">
        <f>Fact_Table[[#This Row],[Diesel_Output_BPD]]/Fact_Table[[#This Row],[Capacity_BPD]]</f>
        <v>0.40375954878462111</v>
      </c>
      <c r="T240" s="15">
        <f>Fact_Table[[#This Row],[Gas_Output_BPD]]/Fact_Table[[#This Row],[Capacity_BPD]]</f>
        <v>0.13965255025333068</v>
      </c>
      <c r="U240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40" s="8">
        <f ca="1">YEAR(TODAY())-Fact_Table[[#This Row],[Commissioned_Year]]</f>
        <v>39</v>
      </c>
      <c r="W240" s="40" cm="1">
        <f t="array" ref="W240">_xlfn.XLOOKUP(Fact_Table[[#This Row],[Commissioned_Year]],cost_table[[#All],[Year]],cost_table[[#All],[Average_Crude_Price_USD_per_Barrel]],"0")</f>
        <v>14.4</v>
      </c>
      <c r="X240" s="40">
        <f>Fact_Table[[#This Row],[Capacity_BPD]]*Fact_Table[[#This Row],[cost per barrel]]</f>
        <v>8284824</v>
      </c>
    </row>
    <row r="241" spans="1:24" x14ac:dyDescent="0.35">
      <c r="A241" t="s">
        <v>45</v>
      </c>
      <c r="B241" t="s">
        <v>19</v>
      </c>
      <c r="C241" t="s">
        <v>51</v>
      </c>
      <c r="D241" s="5">
        <v>809740</v>
      </c>
      <c r="E241" s="5">
        <v>2011</v>
      </c>
      <c r="F241" s="5">
        <v>1419</v>
      </c>
      <c r="G241" s="3" t="s">
        <v>16</v>
      </c>
      <c r="H241" s="4">
        <v>26.43</v>
      </c>
      <c r="I241" s="4">
        <v>7.43</v>
      </c>
      <c r="J241" s="5">
        <v>257367</v>
      </c>
      <c r="K241" s="5">
        <v>430343</v>
      </c>
      <c r="L241" s="5">
        <v>122028</v>
      </c>
      <c r="M241" s="3" t="s">
        <v>34</v>
      </c>
      <c r="N241" s="10">
        <v>23609</v>
      </c>
      <c r="O241" s="12">
        <f>(Fact_Table[[#This Row],[Petrol_Output_BPD]]+Fact_Table[[#This Row],[Diesel_Output_BPD]]+Fact_Table[[#This Row],[Gas_Output_BPD]])/Fact_Table[[#This Row],[No_of_Employees]]</f>
        <v>570.63988724453839</v>
      </c>
      <c r="P241" s="2" t="str">
        <f>IF(Fact_Table[[#This Row],[0/P Producyivity/Day]]&gt;=1000,"High",IF(Fact_Table[[#This Row],[0/P Producyivity/Day]]&gt;=500,"Medium","Low"))</f>
        <v>Medium</v>
      </c>
      <c r="Q241" s="10">
        <f>Fact_Table[[#This Row],[Capacity_BPD]]/Fact_Table[[#This Row],[Average_Salary_AED]]</f>
        <v>34.297937227328561</v>
      </c>
      <c r="R241" s="15">
        <f>(Fact_Table[[#This Row],[Petrol_Output_BPD]]/Fact_Table[[#This Row],[Capacity_BPD]])</f>
        <v>0.31783905945118185</v>
      </c>
      <c r="S241" s="15">
        <f>Fact_Table[[#This Row],[Diesel_Output_BPD]]/Fact_Table[[#This Row],[Capacity_BPD]]</f>
        <v>0.53145824585669477</v>
      </c>
      <c r="T241" s="15">
        <f>Fact_Table[[#This Row],[Gas_Output_BPD]]/Fact_Table[[#This Row],[Capacity_BPD]]</f>
        <v>0.15070022476350434</v>
      </c>
      <c r="U24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41" s="8">
        <f ca="1">YEAR(TODAY())-Fact_Table[[#This Row],[Commissioned_Year]]</f>
        <v>14</v>
      </c>
      <c r="W241" s="40" cm="1">
        <f t="array" ref="W241">_xlfn.XLOOKUP(Fact_Table[[#This Row],[Commissioned_Year]],cost_table[[#All],[Year]],cost_table[[#All],[Average_Crude_Price_USD_per_Barrel]],"0")</f>
        <v>66.099999999999994</v>
      </c>
      <c r="X241" s="40">
        <f>Fact_Table[[#This Row],[Capacity_BPD]]*Fact_Table[[#This Row],[cost per barrel]]</f>
        <v>53523813.999999993</v>
      </c>
    </row>
    <row r="242" spans="1:24" x14ac:dyDescent="0.35">
      <c r="A242" t="s">
        <v>37</v>
      </c>
      <c r="B242" t="s">
        <v>26</v>
      </c>
      <c r="C242" t="s">
        <v>15</v>
      </c>
      <c r="D242" s="5">
        <v>331706</v>
      </c>
      <c r="E242" s="5">
        <v>2009</v>
      </c>
      <c r="F242" s="5">
        <v>1022</v>
      </c>
      <c r="G242" s="3" t="s">
        <v>21</v>
      </c>
      <c r="H242" s="4">
        <v>21.88</v>
      </c>
      <c r="I242" s="4">
        <v>6.71</v>
      </c>
      <c r="J242" s="5">
        <v>132055</v>
      </c>
      <c r="K242" s="5">
        <v>137432</v>
      </c>
      <c r="L242" s="5">
        <v>62218</v>
      </c>
      <c r="M242" s="3" t="s">
        <v>17</v>
      </c>
      <c r="N242" s="10">
        <v>24335</v>
      </c>
      <c r="O242" s="12">
        <f>(Fact_Table[[#This Row],[Petrol_Output_BPD]]+Fact_Table[[#This Row],[Diesel_Output_BPD]]+Fact_Table[[#This Row],[Gas_Output_BPD]])/Fact_Table[[#This Row],[No_of_Employees]]</f>
        <v>324.5645792563601</v>
      </c>
      <c r="P242" s="2" t="str">
        <f>IF(Fact_Table[[#This Row],[0/P Producyivity/Day]]&gt;=1000,"High",IF(Fact_Table[[#This Row],[0/P Producyivity/Day]]&gt;=500,"Medium","Low"))</f>
        <v>Low</v>
      </c>
      <c r="Q242" s="10">
        <f>Fact_Table[[#This Row],[Capacity_BPD]]/Fact_Table[[#This Row],[Average_Salary_AED]]</f>
        <v>13.630819806862544</v>
      </c>
      <c r="R242" s="15">
        <f>(Fact_Table[[#This Row],[Petrol_Output_BPD]]/Fact_Table[[#This Row],[Capacity_BPD]])</f>
        <v>0.39810856601930628</v>
      </c>
      <c r="S242" s="15">
        <f>Fact_Table[[#This Row],[Diesel_Output_BPD]]/Fact_Table[[#This Row],[Capacity_BPD]]</f>
        <v>0.41431870391250081</v>
      </c>
      <c r="T242" s="15">
        <f>Fact_Table[[#This Row],[Gas_Output_BPD]]/Fact_Table[[#This Row],[Capacity_BPD]]</f>
        <v>0.18756971535034037</v>
      </c>
      <c r="U24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42" s="8">
        <f ca="1">YEAR(TODAY())-Fact_Table[[#This Row],[Commissioned_Year]]</f>
        <v>16</v>
      </c>
      <c r="W242" s="40" cm="1">
        <f t="array" ref="W242">_xlfn.XLOOKUP(Fact_Table[[#This Row],[Commissioned_Year]],cost_table[[#All],[Year]],cost_table[[#All],[Average_Crude_Price_USD_per_Barrel]],"0")</f>
        <v>41.4</v>
      </c>
      <c r="X242" s="40">
        <f>Fact_Table[[#This Row],[Capacity_BPD]]*Fact_Table[[#This Row],[cost per barrel]]</f>
        <v>13732628.4</v>
      </c>
    </row>
    <row r="243" spans="1:24" x14ac:dyDescent="0.35">
      <c r="A243" t="s">
        <v>37</v>
      </c>
      <c r="B243" t="s">
        <v>25</v>
      </c>
      <c r="C243" t="s">
        <v>49</v>
      </c>
      <c r="D243" s="5">
        <v>267188</v>
      </c>
      <c r="E243" s="5">
        <v>1977</v>
      </c>
      <c r="F243" s="5">
        <v>303</v>
      </c>
      <c r="G243" s="3" t="s">
        <v>21</v>
      </c>
      <c r="H243" s="4">
        <v>27.62</v>
      </c>
      <c r="I243" s="4">
        <v>7.67</v>
      </c>
      <c r="J243" s="5">
        <v>122966</v>
      </c>
      <c r="K243" s="5">
        <v>100412</v>
      </c>
      <c r="L243" s="5">
        <v>43809</v>
      </c>
      <c r="M243" s="3" t="s">
        <v>29</v>
      </c>
      <c r="N243" s="10">
        <v>8484</v>
      </c>
      <c r="O243" s="12">
        <f>(Fact_Table[[#This Row],[Petrol_Output_BPD]]+Fact_Table[[#This Row],[Diesel_Output_BPD]]+Fact_Table[[#This Row],[Gas_Output_BPD]])/Fact_Table[[#This Row],[No_of_Employees]]</f>
        <v>881.80528052805278</v>
      </c>
      <c r="P243" s="2" t="str">
        <f>IF(Fact_Table[[#This Row],[0/P Producyivity/Day]]&gt;=1000,"High",IF(Fact_Table[[#This Row],[0/P Producyivity/Day]]&gt;=500,"Medium","Low"))</f>
        <v>Medium</v>
      </c>
      <c r="Q243" s="10">
        <f>Fact_Table[[#This Row],[Capacity_BPD]]/Fact_Table[[#This Row],[Average_Salary_AED]]</f>
        <v>31.493163602074493</v>
      </c>
      <c r="R243" s="15">
        <f>(Fact_Table[[#This Row],[Petrol_Output_BPD]]/Fact_Table[[#This Row],[Capacity_BPD]])</f>
        <v>0.4602227644954115</v>
      </c>
      <c r="S243" s="15">
        <f>Fact_Table[[#This Row],[Diesel_Output_BPD]]/Fact_Table[[#This Row],[Capacity_BPD]]</f>
        <v>0.375810290881327</v>
      </c>
      <c r="T243" s="15">
        <f>Fact_Table[[#This Row],[Gas_Output_BPD]]/Fact_Table[[#This Row],[Capacity_BPD]]</f>
        <v>0.16396320194020689</v>
      </c>
      <c r="U243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43" s="8">
        <f ca="1">YEAR(TODAY())-Fact_Table[[#This Row],[Commissioned_Year]]</f>
        <v>48</v>
      </c>
      <c r="W243" s="40" cm="1">
        <f t="array" ref="W243">_xlfn.XLOOKUP(Fact_Table[[#This Row],[Commissioned_Year]],cost_table[[#All],[Year]],cost_table[[#All],[Average_Crude_Price_USD_per_Barrel]],"0")</f>
        <v>12.8</v>
      </c>
      <c r="X243" s="40">
        <f>Fact_Table[[#This Row],[Capacity_BPD]]*Fact_Table[[#This Row],[cost per barrel]]</f>
        <v>3420006.4000000004</v>
      </c>
    </row>
    <row r="244" spans="1:24" x14ac:dyDescent="0.35">
      <c r="A244" t="s">
        <v>36</v>
      </c>
      <c r="B244" t="s">
        <v>40</v>
      </c>
      <c r="C244" t="s">
        <v>15</v>
      </c>
      <c r="D244" s="5">
        <v>387522</v>
      </c>
      <c r="E244" s="5">
        <v>1983</v>
      </c>
      <c r="F244" s="5">
        <v>673</v>
      </c>
      <c r="G244" s="3" t="s">
        <v>28</v>
      </c>
      <c r="H244" s="4">
        <v>9.15</v>
      </c>
      <c r="I244" s="4">
        <v>6.74</v>
      </c>
      <c r="J244" s="5">
        <v>153566</v>
      </c>
      <c r="K244" s="5">
        <v>176104</v>
      </c>
      <c r="L244" s="5">
        <v>57850</v>
      </c>
      <c r="M244" s="3" t="s">
        <v>23</v>
      </c>
      <c r="N244" s="10">
        <v>17729</v>
      </c>
      <c r="O244" s="12">
        <f>(Fact_Table[[#This Row],[Petrol_Output_BPD]]+Fact_Table[[#This Row],[Diesel_Output_BPD]]+Fact_Table[[#This Row],[Gas_Output_BPD]])/Fact_Table[[#This Row],[No_of_Employees]]</f>
        <v>575.80980683506687</v>
      </c>
      <c r="P244" s="2" t="str">
        <f>IF(Fact_Table[[#This Row],[0/P Producyivity/Day]]&gt;=1000,"High",IF(Fact_Table[[#This Row],[0/P Producyivity/Day]]&gt;=500,"Medium","Low"))</f>
        <v>Medium</v>
      </c>
      <c r="Q244" s="10">
        <f>Fact_Table[[#This Row],[Capacity_BPD]]/Fact_Table[[#This Row],[Average_Salary_AED]]</f>
        <v>21.858085622426533</v>
      </c>
      <c r="R244" s="15">
        <f>(Fact_Table[[#This Row],[Petrol_Output_BPD]]/Fact_Table[[#This Row],[Capacity_BPD]])</f>
        <v>0.39627685653975775</v>
      </c>
      <c r="S244" s="15">
        <f>Fact_Table[[#This Row],[Diesel_Output_BPD]]/Fact_Table[[#This Row],[Capacity_BPD]]</f>
        <v>0.45443613523877352</v>
      </c>
      <c r="T244" s="15">
        <f>Fact_Table[[#This Row],[Gas_Output_BPD]]/Fact_Table[[#This Row],[Capacity_BPD]]</f>
        <v>0.1492818472241576</v>
      </c>
      <c r="U244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44" s="8">
        <f ca="1">YEAR(TODAY())-Fact_Table[[#This Row],[Commissioned_Year]]</f>
        <v>42</v>
      </c>
      <c r="W244" s="40" cm="1">
        <f t="array" ref="W244">_xlfn.XLOOKUP(Fact_Table[[#This Row],[Commissioned_Year]],cost_table[[#All],[Year]],cost_table[[#All],[Average_Crude_Price_USD_per_Barrel]],"0")</f>
        <v>29</v>
      </c>
      <c r="X244" s="40">
        <f>Fact_Table[[#This Row],[Capacity_BPD]]*Fact_Table[[#This Row],[cost per barrel]]</f>
        <v>11238138</v>
      </c>
    </row>
    <row r="245" spans="1:24" x14ac:dyDescent="0.35">
      <c r="A245" t="s">
        <v>27</v>
      </c>
      <c r="B245" t="s">
        <v>19</v>
      </c>
      <c r="C245" t="s">
        <v>50</v>
      </c>
      <c r="D245" s="5">
        <v>628847</v>
      </c>
      <c r="E245" s="5">
        <v>2012</v>
      </c>
      <c r="F245" s="5">
        <v>478</v>
      </c>
      <c r="G245" s="3" t="s">
        <v>21</v>
      </c>
      <c r="H245" s="4">
        <v>17.899999999999999</v>
      </c>
      <c r="I245" s="4">
        <v>7.42</v>
      </c>
      <c r="J245" s="5">
        <v>229929</v>
      </c>
      <c r="K245" s="5">
        <v>313114</v>
      </c>
      <c r="L245" s="5">
        <v>85803</v>
      </c>
      <c r="M245" s="3" t="s">
        <v>29</v>
      </c>
      <c r="N245" s="10">
        <v>23344</v>
      </c>
      <c r="O245" s="12">
        <f>(Fact_Table[[#This Row],[Petrol_Output_BPD]]+Fact_Table[[#This Row],[Diesel_Output_BPD]]+Fact_Table[[#This Row],[Gas_Output_BPD]])/Fact_Table[[#This Row],[No_of_Employees]]</f>
        <v>1315.5774058577406</v>
      </c>
      <c r="P245" s="2" t="str">
        <f>IF(Fact_Table[[#This Row],[0/P Producyivity/Day]]&gt;=1000,"High",IF(Fact_Table[[#This Row],[0/P Producyivity/Day]]&gt;=500,"Medium","Low"))</f>
        <v>High</v>
      </c>
      <c r="Q245" s="10">
        <f>Fact_Table[[#This Row],[Capacity_BPD]]/Fact_Table[[#This Row],[Average_Salary_AED]]</f>
        <v>26.938271076079506</v>
      </c>
      <c r="R245" s="15">
        <f>(Fact_Table[[#This Row],[Petrol_Output_BPD]]/Fact_Table[[#This Row],[Capacity_BPD]])</f>
        <v>0.36563583828816865</v>
      </c>
      <c r="S245" s="15">
        <f>Fact_Table[[#This Row],[Diesel_Output_BPD]]/Fact_Table[[#This Row],[Capacity_BPD]]</f>
        <v>0.4979176174808817</v>
      </c>
      <c r="T245" s="15">
        <f>Fact_Table[[#This Row],[Gas_Output_BPD]]/Fact_Table[[#This Row],[Capacity_BPD]]</f>
        <v>0.13644495401902212</v>
      </c>
      <c r="U245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45" s="8">
        <f ca="1">YEAR(TODAY())-Fact_Table[[#This Row],[Commissioned_Year]]</f>
        <v>13</v>
      </c>
      <c r="W245" s="40" cm="1">
        <f t="array" ref="W245">_xlfn.XLOOKUP(Fact_Table[[#This Row],[Commissioned_Year]],cost_table[[#All],[Year]],cost_table[[#All],[Average_Crude_Price_USD_per_Barrel]],"0")</f>
        <v>72.400000000000006</v>
      </c>
      <c r="X245" s="40">
        <f>Fact_Table[[#This Row],[Capacity_BPD]]*Fact_Table[[#This Row],[cost per barrel]]</f>
        <v>45528522.800000004</v>
      </c>
    </row>
    <row r="246" spans="1:24" x14ac:dyDescent="0.35">
      <c r="A246" t="s">
        <v>27</v>
      </c>
      <c r="B246" t="s">
        <v>26</v>
      </c>
      <c r="C246" t="s">
        <v>39</v>
      </c>
      <c r="D246" s="5">
        <v>245076</v>
      </c>
      <c r="E246" s="5">
        <v>2021</v>
      </c>
      <c r="F246" s="5">
        <v>816</v>
      </c>
      <c r="G246" s="3" t="s">
        <v>16</v>
      </c>
      <c r="H246" s="4">
        <v>24.19</v>
      </c>
      <c r="I246" s="4">
        <v>9.93</v>
      </c>
      <c r="J246" s="5">
        <v>116635</v>
      </c>
      <c r="K246" s="5">
        <v>85500</v>
      </c>
      <c r="L246" s="5">
        <v>42939</v>
      </c>
      <c r="M246" s="3" t="s">
        <v>29</v>
      </c>
      <c r="N246" s="10">
        <v>23687</v>
      </c>
      <c r="O246" s="12">
        <f>(Fact_Table[[#This Row],[Petrol_Output_BPD]]+Fact_Table[[#This Row],[Diesel_Output_BPD]]+Fact_Table[[#This Row],[Gas_Output_BPD]])/Fact_Table[[#This Row],[No_of_Employees]]</f>
        <v>300.33578431372547</v>
      </c>
      <c r="P246" s="2" t="str">
        <f>IF(Fact_Table[[#This Row],[0/P Producyivity/Day]]&gt;=1000,"High",IF(Fact_Table[[#This Row],[0/P Producyivity/Day]]&gt;=500,"Medium","Low"))</f>
        <v>Low</v>
      </c>
      <c r="Q246" s="10">
        <f>Fact_Table[[#This Row],[Capacity_BPD]]/Fact_Table[[#This Row],[Average_Salary_AED]]</f>
        <v>10.346434753240175</v>
      </c>
      <c r="R246" s="15">
        <f>(Fact_Table[[#This Row],[Petrol_Output_BPD]]/Fact_Table[[#This Row],[Capacity_BPD]])</f>
        <v>0.47591359415038598</v>
      </c>
      <c r="S246" s="15">
        <f>Fact_Table[[#This Row],[Diesel_Output_BPD]]/Fact_Table[[#This Row],[Capacity_BPD]]</f>
        <v>0.34887137051363659</v>
      </c>
      <c r="T246" s="15">
        <f>Fact_Table[[#This Row],[Gas_Output_BPD]]/Fact_Table[[#This Row],[Capacity_BPD]]</f>
        <v>0.17520687460216422</v>
      </c>
      <c r="U246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46" s="8">
        <f ca="1">YEAR(TODAY())-Fact_Table[[#This Row],[Commissioned_Year]]</f>
        <v>4</v>
      </c>
      <c r="W246" s="40" cm="1">
        <f t="array" ref="W246">_xlfn.XLOOKUP(Fact_Table[[#This Row],[Commissioned_Year]],cost_table[[#All],[Year]],cost_table[[#All],[Average_Crude_Price_USD_per_Barrel]],"0")</f>
        <v>54.2</v>
      </c>
      <c r="X246" s="40">
        <f>Fact_Table[[#This Row],[Capacity_BPD]]*Fact_Table[[#This Row],[cost per barrel]]</f>
        <v>13283119.200000001</v>
      </c>
    </row>
    <row r="247" spans="1:24" x14ac:dyDescent="0.35">
      <c r="A247" t="s">
        <v>18</v>
      </c>
      <c r="B247" t="s">
        <v>40</v>
      </c>
      <c r="C247" t="s">
        <v>39</v>
      </c>
      <c r="D247" s="5">
        <v>261275</v>
      </c>
      <c r="E247" s="5">
        <v>2011</v>
      </c>
      <c r="F247" s="5">
        <v>561</v>
      </c>
      <c r="G247" s="3" t="s">
        <v>16</v>
      </c>
      <c r="H247" s="4">
        <v>20.059999999999999</v>
      </c>
      <c r="I247" s="4">
        <v>5.48</v>
      </c>
      <c r="J247" s="5">
        <v>96650</v>
      </c>
      <c r="K247" s="5">
        <v>110953</v>
      </c>
      <c r="L247" s="5">
        <v>53671</v>
      </c>
      <c r="M247" s="3" t="s">
        <v>29</v>
      </c>
      <c r="N247" s="10">
        <v>14701</v>
      </c>
      <c r="O247" s="12">
        <f>(Fact_Table[[#This Row],[Petrol_Output_BPD]]+Fact_Table[[#This Row],[Diesel_Output_BPD]]+Fact_Table[[#This Row],[Gas_Output_BPD]])/Fact_Table[[#This Row],[No_of_Employees]]</f>
        <v>465.72905525846704</v>
      </c>
      <c r="P247" s="2" t="str">
        <f>IF(Fact_Table[[#This Row],[0/P Producyivity/Day]]&gt;=1000,"High",IF(Fact_Table[[#This Row],[0/P Producyivity/Day]]&gt;=500,"Medium","Low"))</f>
        <v>Low</v>
      </c>
      <c r="Q247" s="10">
        <f>Fact_Table[[#This Row],[Capacity_BPD]]/Fact_Table[[#This Row],[Average_Salary_AED]]</f>
        <v>17.772600503367119</v>
      </c>
      <c r="R247" s="15">
        <f>(Fact_Table[[#This Row],[Petrol_Output_BPD]]/Fact_Table[[#This Row],[Capacity_BPD]])</f>
        <v>0.36991675437757154</v>
      </c>
      <c r="S247" s="15">
        <f>Fact_Table[[#This Row],[Diesel_Output_BPD]]/Fact_Table[[#This Row],[Capacity_BPD]]</f>
        <v>0.42465984116352501</v>
      </c>
      <c r="T247" s="15">
        <f>Fact_Table[[#This Row],[Gas_Output_BPD]]/Fact_Table[[#This Row],[Capacity_BPD]]</f>
        <v>0.20541957707396422</v>
      </c>
      <c r="U247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47" s="8">
        <f ca="1">YEAR(TODAY())-Fact_Table[[#This Row],[Commissioned_Year]]</f>
        <v>14</v>
      </c>
      <c r="W247" s="40" cm="1">
        <f t="array" ref="W247">_xlfn.XLOOKUP(Fact_Table[[#This Row],[Commissioned_Year]],cost_table[[#All],[Year]],cost_table[[#All],[Average_Crude_Price_USD_per_Barrel]],"0")</f>
        <v>66.099999999999994</v>
      </c>
      <c r="X247" s="40">
        <f>Fact_Table[[#This Row],[Capacity_BPD]]*Fact_Table[[#This Row],[cost per barrel]]</f>
        <v>17270277.5</v>
      </c>
    </row>
    <row r="248" spans="1:24" x14ac:dyDescent="0.35">
      <c r="A248" t="s">
        <v>37</v>
      </c>
      <c r="B248" t="s">
        <v>40</v>
      </c>
      <c r="C248" t="s">
        <v>15</v>
      </c>
      <c r="D248" s="5">
        <v>720205</v>
      </c>
      <c r="E248" s="5">
        <v>2023</v>
      </c>
      <c r="F248" s="5">
        <v>1900</v>
      </c>
      <c r="G248" s="3" t="s">
        <v>31</v>
      </c>
      <c r="H248" s="4">
        <v>17.3</v>
      </c>
      <c r="I248" s="4">
        <v>9.1300000000000008</v>
      </c>
      <c r="J248" s="5">
        <v>208053</v>
      </c>
      <c r="K248" s="5">
        <v>353403</v>
      </c>
      <c r="L248" s="5">
        <v>158748</v>
      </c>
      <c r="M248" s="3" t="s">
        <v>34</v>
      </c>
      <c r="N248" s="10">
        <v>13420</v>
      </c>
      <c r="O248" s="12">
        <f>(Fact_Table[[#This Row],[Petrol_Output_BPD]]+Fact_Table[[#This Row],[Diesel_Output_BPD]]+Fact_Table[[#This Row],[Gas_Output_BPD]])/Fact_Table[[#This Row],[No_of_Employees]]</f>
        <v>379.05473684210529</v>
      </c>
      <c r="P248" s="2" t="str">
        <f>IF(Fact_Table[[#This Row],[0/P Producyivity/Day]]&gt;=1000,"High",IF(Fact_Table[[#This Row],[0/P Producyivity/Day]]&gt;=500,"Medium","Low"))</f>
        <v>Low</v>
      </c>
      <c r="Q248" s="10">
        <f>Fact_Table[[#This Row],[Capacity_BPD]]/Fact_Table[[#This Row],[Average_Salary_AED]]</f>
        <v>53.66654247391952</v>
      </c>
      <c r="R248" s="15">
        <f>(Fact_Table[[#This Row],[Petrol_Output_BPD]]/Fact_Table[[#This Row],[Capacity_BPD]])</f>
        <v>0.28888024937344231</v>
      </c>
      <c r="S248" s="15">
        <f>Fact_Table[[#This Row],[Diesel_Output_BPD]]/Fact_Table[[#This Row],[Capacity_BPD]]</f>
        <v>0.49069778743552184</v>
      </c>
      <c r="T248" s="15">
        <f>Fact_Table[[#This Row],[Gas_Output_BPD]]/Fact_Table[[#This Row],[Capacity_BPD]]</f>
        <v>0.22042057469748197</v>
      </c>
      <c r="U248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48" s="8">
        <f ca="1">YEAR(TODAY())-Fact_Table[[#This Row],[Commissioned_Year]]</f>
        <v>2</v>
      </c>
      <c r="W248" s="40" cm="1">
        <f t="array" ref="W248">_xlfn.XLOOKUP(Fact_Table[[#This Row],[Commissioned_Year]],cost_table[[#All],[Year]],cost_table[[#All],[Average_Crude_Price_USD_per_Barrel]],"0")</f>
        <v>64.3</v>
      </c>
      <c r="X248" s="40">
        <f>Fact_Table[[#This Row],[Capacity_BPD]]*Fact_Table[[#This Row],[cost per barrel]]</f>
        <v>46309181.5</v>
      </c>
    </row>
    <row r="249" spans="1:24" x14ac:dyDescent="0.35">
      <c r="A249" t="s">
        <v>45</v>
      </c>
      <c r="B249" t="s">
        <v>40</v>
      </c>
      <c r="C249" t="s">
        <v>50</v>
      </c>
      <c r="D249" s="5">
        <v>601944</v>
      </c>
      <c r="E249" s="5">
        <v>1988</v>
      </c>
      <c r="F249" s="5">
        <v>906</v>
      </c>
      <c r="G249" s="3" t="s">
        <v>28</v>
      </c>
      <c r="H249" s="4">
        <v>22.82</v>
      </c>
      <c r="I249" s="4">
        <v>6.73</v>
      </c>
      <c r="J249" s="5">
        <v>249452</v>
      </c>
      <c r="K249" s="5">
        <v>236845</v>
      </c>
      <c r="L249" s="5">
        <v>115645</v>
      </c>
      <c r="M249" s="3" t="s">
        <v>38</v>
      </c>
      <c r="N249" s="10">
        <v>22887</v>
      </c>
      <c r="O249" s="12">
        <f>(Fact_Table[[#This Row],[Petrol_Output_BPD]]+Fact_Table[[#This Row],[Diesel_Output_BPD]]+Fact_Table[[#This Row],[Gas_Output_BPD]])/Fact_Table[[#This Row],[No_of_Employees]]</f>
        <v>664.39514348785872</v>
      </c>
      <c r="P249" s="2" t="str">
        <f>IF(Fact_Table[[#This Row],[0/P Producyivity/Day]]&gt;=1000,"High",IF(Fact_Table[[#This Row],[0/P Producyivity/Day]]&gt;=500,"Medium","Low"))</f>
        <v>Medium</v>
      </c>
      <c r="Q249" s="10">
        <f>Fact_Table[[#This Row],[Capacity_BPD]]/Fact_Table[[#This Row],[Average_Salary_AED]]</f>
        <v>26.300694717525232</v>
      </c>
      <c r="R249" s="15">
        <f>(Fact_Table[[#This Row],[Petrol_Output_BPD]]/Fact_Table[[#This Row],[Capacity_BPD]])</f>
        <v>0.41441064285049772</v>
      </c>
      <c r="S249" s="15">
        <f>Fact_Table[[#This Row],[Diesel_Output_BPD]]/Fact_Table[[#This Row],[Capacity_BPD]]</f>
        <v>0.39346683412410455</v>
      </c>
      <c r="T249" s="15">
        <f>Fact_Table[[#This Row],[Gas_Output_BPD]]/Fact_Table[[#This Row],[Capacity_BPD]]</f>
        <v>0.19211920045718539</v>
      </c>
      <c r="U249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49" s="8">
        <f ca="1">YEAR(TODAY())-Fact_Table[[#This Row],[Commissioned_Year]]</f>
        <v>37</v>
      </c>
      <c r="W249" s="40" cm="1">
        <f t="array" ref="W249">_xlfn.XLOOKUP(Fact_Table[[#This Row],[Commissioned_Year]],cost_table[[#All],[Year]],cost_table[[#All],[Average_Crude_Price_USD_per_Barrel]],"0")</f>
        <v>14.9</v>
      </c>
      <c r="X249" s="40">
        <f>Fact_Table[[#This Row],[Capacity_BPD]]*Fact_Table[[#This Row],[cost per barrel]]</f>
        <v>8968965.5999999996</v>
      </c>
    </row>
    <row r="250" spans="1:24" x14ac:dyDescent="0.35">
      <c r="A250" t="s">
        <v>37</v>
      </c>
      <c r="B250" t="s">
        <v>41</v>
      </c>
      <c r="C250" t="s">
        <v>50</v>
      </c>
      <c r="D250" s="5">
        <v>488955</v>
      </c>
      <c r="E250" s="5">
        <v>2001</v>
      </c>
      <c r="F250" s="5">
        <v>1327</v>
      </c>
      <c r="G250" s="3" t="s">
        <v>16</v>
      </c>
      <c r="H250" s="4">
        <v>34.35</v>
      </c>
      <c r="I250" s="4">
        <v>8.24</v>
      </c>
      <c r="J250" s="5">
        <v>144706</v>
      </c>
      <c r="K250" s="5">
        <v>250483</v>
      </c>
      <c r="L250" s="5">
        <v>93765</v>
      </c>
      <c r="M250" s="3" t="s">
        <v>17</v>
      </c>
      <c r="N250" s="10">
        <v>12242</v>
      </c>
      <c r="O250" s="12">
        <f>(Fact_Table[[#This Row],[Petrol_Output_BPD]]+Fact_Table[[#This Row],[Diesel_Output_BPD]]+Fact_Table[[#This Row],[Gas_Output_BPD]])/Fact_Table[[#This Row],[No_of_Employees]]</f>
        <v>368.46571213263002</v>
      </c>
      <c r="P250" s="2" t="str">
        <f>IF(Fact_Table[[#This Row],[0/P Producyivity/Day]]&gt;=1000,"High",IF(Fact_Table[[#This Row],[0/P Producyivity/Day]]&gt;=500,"Medium","Low"))</f>
        <v>Low</v>
      </c>
      <c r="Q250" s="10">
        <f>Fact_Table[[#This Row],[Capacity_BPD]]/Fact_Table[[#This Row],[Average_Salary_AED]]</f>
        <v>39.940777650710665</v>
      </c>
      <c r="R250" s="15">
        <f>(Fact_Table[[#This Row],[Petrol_Output_BPD]]/Fact_Table[[#This Row],[Capacity_BPD]])</f>
        <v>0.29594952500741378</v>
      </c>
      <c r="S250" s="15">
        <f>Fact_Table[[#This Row],[Diesel_Output_BPD]]/Fact_Table[[#This Row],[Capacity_BPD]]</f>
        <v>0.51228231636858201</v>
      </c>
      <c r="T250" s="15">
        <f>Fact_Table[[#This Row],[Gas_Output_BPD]]/Fact_Table[[#This Row],[Capacity_BPD]]</f>
        <v>0.19176611344602265</v>
      </c>
      <c r="U250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50" s="8">
        <f ca="1">YEAR(TODAY())-Fact_Table[[#This Row],[Commissioned_Year]]</f>
        <v>24</v>
      </c>
      <c r="W250" s="40" cm="1">
        <f t="array" ref="W250">_xlfn.XLOOKUP(Fact_Table[[#This Row],[Commissioned_Year]],cost_table[[#All],[Year]],cost_table[[#All],[Average_Crude_Price_USD_per_Barrel]],"0")</f>
        <v>28.4</v>
      </c>
      <c r="X250" s="40">
        <f>Fact_Table[[#This Row],[Capacity_BPD]]*Fact_Table[[#This Row],[cost per barrel]]</f>
        <v>13886322</v>
      </c>
    </row>
    <row r="251" spans="1:24" x14ac:dyDescent="0.35">
      <c r="A251" t="s">
        <v>22</v>
      </c>
      <c r="B251" t="s">
        <v>25</v>
      </c>
      <c r="C251" t="s">
        <v>49</v>
      </c>
      <c r="D251" s="5">
        <v>384237</v>
      </c>
      <c r="E251" s="5">
        <v>1980</v>
      </c>
      <c r="F251" s="5">
        <v>490</v>
      </c>
      <c r="G251" s="3" t="s">
        <v>31</v>
      </c>
      <c r="H251" s="4">
        <v>31.93</v>
      </c>
      <c r="I251" s="4">
        <v>7.44</v>
      </c>
      <c r="J251" s="5">
        <v>150716</v>
      </c>
      <c r="K251" s="5">
        <v>183304</v>
      </c>
      <c r="L251" s="5">
        <v>50216</v>
      </c>
      <c r="M251" s="3" t="s">
        <v>29</v>
      </c>
      <c r="N251" s="10">
        <v>18494</v>
      </c>
      <c r="O251" s="12">
        <f>(Fact_Table[[#This Row],[Petrol_Output_BPD]]+Fact_Table[[#This Row],[Diesel_Output_BPD]]+Fact_Table[[#This Row],[Gas_Output_BPD]])/Fact_Table[[#This Row],[No_of_Employees]]</f>
        <v>784.15510204081636</v>
      </c>
      <c r="P251" s="2" t="str">
        <f>IF(Fact_Table[[#This Row],[0/P Producyivity/Day]]&gt;=1000,"High",IF(Fact_Table[[#This Row],[0/P Producyivity/Day]]&gt;=500,"Medium","Low"))</f>
        <v>Medium</v>
      </c>
      <c r="Q251" s="10">
        <f>Fact_Table[[#This Row],[Capacity_BPD]]/Fact_Table[[#This Row],[Average_Salary_AED]]</f>
        <v>20.776305828917486</v>
      </c>
      <c r="R251" s="15">
        <f>(Fact_Table[[#This Row],[Petrol_Output_BPD]]/Fact_Table[[#This Row],[Capacity_BPD]])</f>
        <v>0.39224749308369572</v>
      </c>
      <c r="S251" s="15">
        <f>Fact_Table[[#This Row],[Diesel_Output_BPD]]/Fact_Table[[#This Row],[Capacity_BPD]]</f>
        <v>0.4770597313637156</v>
      </c>
      <c r="T251" s="15">
        <f>Fact_Table[[#This Row],[Gas_Output_BPD]]/Fact_Table[[#This Row],[Capacity_BPD]]</f>
        <v>0.13069017299218971</v>
      </c>
      <c r="U25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51" s="8">
        <f ca="1">YEAR(TODAY())-Fact_Table[[#This Row],[Commissioned_Year]]</f>
        <v>45</v>
      </c>
      <c r="W251" s="40" cm="1">
        <f t="array" ref="W251">_xlfn.XLOOKUP(Fact_Table[[#This Row],[Commissioned_Year]],cost_table[[#All],[Year]],cost_table[[#All],[Average_Crude_Price_USD_per_Barrel]],"0")</f>
        <v>36.799999999999997</v>
      </c>
      <c r="X251" s="40">
        <f>Fact_Table[[#This Row],[Capacity_BPD]]*Fact_Table[[#This Row],[cost per barrel]]</f>
        <v>14139921.6</v>
      </c>
    </row>
    <row r="252" spans="1:24" x14ac:dyDescent="0.35">
      <c r="A252" t="s">
        <v>18</v>
      </c>
      <c r="B252" t="s">
        <v>40</v>
      </c>
      <c r="C252" t="s">
        <v>33</v>
      </c>
      <c r="D252" s="5">
        <v>363843</v>
      </c>
      <c r="E252" s="5">
        <v>1997</v>
      </c>
      <c r="F252" s="5">
        <v>1176</v>
      </c>
      <c r="G252" s="3" t="s">
        <v>21</v>
      </c>
      <c r="H252" s="4">
        <v>8.9499999999999993</v>
      </c>
      <c r="I252" s="4">
        <v>6.24</v>
      </c>
      <c r="J252" s="5">
        <v>150263</v>
      </c>
      <c r="K252" s="5">
        <v>137847</v>
      </c>
      <c r="L252" s="5">
        <v>75731</v>
      </c>
      <c r="M252" s="3" t="s">
        <v>29</v>
      </c>
      <c r="N252" s="10">
        <v>24595</v>
      </c>
      <c r="O252" s="12">
        <f>(Fact_Table[[#This Row],[Petrol_Output_BPD]]+Fact_Table[[#This Row],[Diesel_Output_BPD]]+Fact_Table[[#This Row],[Gas_Output_BPD]])/Fact_Table[[#This Row],[No_of_Employees]]</f>
        <v>309.38860544217687</v>
      </c>
      <c r="P252" s="2" t="str">
        <f>IF(Fact_Table[[#This Row],[0/P Producyivity/Day]]&gt;=1000,"High",IF(Fact_Table[[#This Row],[0/P Producyivity/Day]]&gt;=500,"Medium","Low"))</f>
        <v>Low</v>
      </c>
      <c r="Q252" s="10">
        <f>Fact_Table[[#This Row],[Capacity_BPD]]/Fact_Table[[#This Row],[Average_Salary_AED]]</f>
        <v>14.79337263671478</v>
      </c>
      <c r="R252" s="15">
        <f>(Fact_Table[[#This Row],[Petrol_Output_BPD]]/Fact_Table[[#This Row],[Capacity_BPD]])</f>
        <v>0.41298856924552624</v>
      </c>
      <c r="S252" s="15">
        <f>Fact_Table[[#This Row],[Diesel_Output_BPD]]/Fact_Table[[#This Row],[Capacity_BPD]]</f>
        <v>0.37886396055441496</v>
      </c>
      <c r="T252" s="15">
        <f>Fact_Table[[#This Row],[Gas_Output_BPD]]/Fact_Table[[#This Row],[Capacity_BPD]]</f>
        <v>0.20814197332365883</v>
      </c>
      <c r="U25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52" s="8">
        <f ca="1">YEAR(TODAY())-Fact_Table[[#This Row],[Commissioned_Year]]</f>
        <v>28</v>
      </c>
      <c r="W252" s="40" cm="1">
        <f t="array" ref="W252">_xlfn.XLOOKUP(Fact_Table[[#This Row],[Commissioned_Year]],cost_table[[#All],[Year]],cost_table[[#All],[Average_Crude_Price_USD_per_Barrel]],"0")</f>
        <v>15</v>
      </c>
      <c r="X252" s="40">
        <f>Fact_Table[[#This Row],[Capacity_BPD]]*Fact_Table[[#This Row],[cost per barrel]]</f>
        <v>5457645</v>
      </c>
    </row>
    <row r="253" spans="1:24" x14ac:dyDescent="0.35">
      <c r="A253" t="s">
        <v>27</v>
      </c>
      <c r="B253" t="s">
        <v>25</v>
      </c>
      <c r="C253" t="s">
        <v>51</v>
      </c>
      <c r="D253" s="5">
        <v>886486</v>
      </c>
      <c r="E253" s="5">
        <v>1991</v>
      </c>
      <c r="F253" s="5">
        <v>2195</v>
      </c>
      <c r="G253" s="3" t="s">
        <v>28</v>
      </c>
      <c r="H253" s="4">
        <v>29.08</v>
      </c>
      <c r="I253" s="4">
        <v>6.29</v>
      </c>
      <c r="J253" s="5">
        <v>316120</v>
      </c>
      <c r="K253" s="5">
        <v>395050</v>
      </c>
      <c r="L253" s="5">
        <v>175315</v>
      </c>
      <c r="M253" s="3" t="s">
        <v>23</v>
      </c>
      <c r="N253" s="10">
        <v>24328</v>
      </c>
      <c r="O253" s="12">
        <f>(Fact_Table[[#This Row],[Petrol_Output_BPD]]+Fact_Table[[#This Row],[Diesel_Output_BPD]]+Fact_Table[[#This Row],[Gas_Output_BPD]])/Fact_Table[[#This Row],[No_of_Employees]]</f>
        <v>403.86560364464691</v>
      </c>
      <c r="P253" s="2" t="str">
        <f>IF(Fact_Table[[#This Row],[0/P Producyivity/Day]]&gt;=1000,"High",IF(Fact_Table[[#This Row],[0/P Producyivity/Day]]&gt;=500,"Medium","Low"))</f>
        <v>Low</v>
      </c>
      <c r="Q253" s="10">
        <f>Fact_Table[[#This Row],[Capacity_BPD]]/Fact_Table[[#This Row],[Average_Salary_AED]]</f>
        <v>36.438918119039791</v>
      </c>
      <c r="R253" s="15">
        <f>(Fact_Table[[#This Row],[Petrol_Output_BPD]]/Fact_Table[[#This Row],[Capacity_BPD]])</f>
        <v>0.35659897618236497</v>
      </c>
      <c r="S253" s="15">
        <f>Fact_Table[[#This Row],[Diesel_Output_BPD]]/Fact_Table[[#This Row],[Capacity_BPD]]</f>
        <v>0.44563591528800228</v>
      </c>
      <c r="T253" s="15">
        <f>Fact_Table[[#This Row],[Gas_Output_BPD]]/Fact_Table[[#This Row],[Capacity_BPD]]</f>
        <v>0.19776398048023319</v>
      </c>
      <c r="U253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53" s="8">
        <f ca="1">YEAR(TODAY())-Fact_Table[[#This Row],[Commissioned_Year]]</f>
        <v>34</v>
      </c>
      <c r="W253" s="40" cm="1">
        <f t="array" ref="W253">_xlfn.XLOOKUP(Fact_Table[[#This Row],[Commissioned_Year]],cost_table[[#All],[Year]],cost_table[[#All],[Average_Crude_Price_USD_per_Barrel]],"0")</f>
        <v>18.399999999999999</v>
      </c>
      <c r="X253" s="40">
        <f>Fact_Table[[#This Row],[Capacity_BPD]]*Fact_Table[[#This Row],[cost per barrel]]</f>
        <v>16311342.399999999</v>
      </c>
    </row>
    <row r="254" spans="1:24" x14ac:dyDescent="0.35">
      <c r="A254" t="s">
        <v>37</v>
      </c>
      <c r="B254" t="s">
        <v>25</v>
      </c>
      <c r="C254" t="s">
        <v>39</v>
      </c>
      <c r="D254" s="5">
        <v>855105</v>
      </c>
      <c r="E254" s="5">
        <v>1988</v>
      </c>
      <c r="F254" s="5">
        <v>1417</v>
      </c>
      <c r="G254" s="3" t="s">
        <v>21</v>
      </c>
      <c r="H254" s="4">
        <v>11.56</v>
      </c>
      <c r="I254" s="4">
        <v>5.95</v>
      </c>
      <c r="J254" s="5">
        <v>292905</v>
      </c>
      <c r="K254" s="5">
        <v>424921</v>
      </c>
      <c r="L254" s="5">
        <v>137278</v>
      </c>
      <c r="M254" s="3" t="s">
        <v>34</v>
      </c>
      <c r="N254" s="10">
        <v>9075</v>
      </c>
      <c r="O254" s="12">
        <f>(Fact_Table[[#This Row],[Petrol_Output_BPD]]+Fact_Table[[#This Row],[Diesel_Output_BPD]]+Fact_Table[[#This Row],[Gas_Output_BPD]])/Fact_Table[[#This Row],[No_of_Employees]]</f>
        <v>603.46083274523642</v>
      </c>
      <c r="P254" s="2" t="str">
        <f>IF(Fact_Table[[#This Row],[0/P Producyivity/Day]]&gt;=1000,"High",IF(Fact_Table[[#This Row],[0/P Producyivity/Day]]&gt;=500,"Medium","Low"))</f>
        <v>Medium</v>
      </c>
      <c r="Q254" s="10">
        <f>Fact_Table[[#This Row],[Capacity_BPD]]/Fact_Table[[#This Row],[Average_Salary_AED]]</f>
        <v>94.226446280991738</v>
      </c>
      <c r="R254" s="15">
        <f>(Fact_Table[[#This Row],[Petrol_Output_BPD]]/Fact_Table[[#This Row],[Capacity_BPD]])</f>
        <v>0.34253688143561317</v>
      </c>
      <c r="S254" s="15">
        <f>Fact_Table[[#This Row],[Diesel_Output_BPD]]/Fact_Table[[#This Row],[Capacity_BPD]]</f>
        <v>0.4969226001485198</v>
      </c>
      <c r="T254" s="15">
        <f>Fact_Table[[#This Row],[Gas_Output_BPD]]/Fact_Table[[#This Row],[Capacity_BPD]]</f>
        <v>0.16053934896884009</v>
      </c>
      <c r="U254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54" s="8">
        <f ca="1">YEAR(TODAY())-Fact_Table[[#This Row],[Commissioned_Year]]</f>
        <v>37</v>
      </c>
      <c r="W254" s="40" cm="1">
        <f t="array" ref="W254">_xlfn.XLOOKUP(Fact_Table[[#This Row],[Commissioned_Year]],cost_table[[#All],[Year]],cost_table[[#All],[Average_Crude_Price_USD_per_Barrel]],"0")</f>
        <v>14.9</v>
      </c>
      <c r="X254" s="40">
        <f>Fact_Table[[#This Row],[Capacity_BPD]]*Fact_Table[[#This Row],[cost per barrel]]</f>
        <v>12741064.5</v>
      </c>
    </row>
    <row r="255" spans="1:24" x14ac:dyDescent="0.35">
      <c r="A255" t="s">
        <v>27</v>
      </c>
      <c r="B255" t="s">
        <v>41</v>
      </c>
      <c r="C255" t="s">
        <v>50</v>
      </c>
      <c r="D255" s="5">
        <v>595119</v>
      </c>
      <c r="E255" s="5">
        <v>2021</v>
      </c>
      <c r="F255" s="5">
        <v>1169</v>
      </c>
      <c r="G255" s="3" t="s">
        <v>16</v>
      </c>
      <c r="H255" s="4">
        <v>5.28</v>
      </c>
      <c r="I255" s="4">
        <v>5.42</v>
      </c>
      <c r="J255" s="5">
        <v>223257</v>
      </c>
      <c r="K255" s="5">
        <v>282105</v>
      </c>
      <c r="L255" s="5">
        <v>89755</v>
      </c>
      <c r="M255" s="3" t="s">
        <v>38</v>
      </c>
      <c r="N255" s="10">
        <v>18647</v>
      </c>
      <c r="O255" s="12">
        <f>(Fact_Table[[#This Row],[Petrol_Output_BPD]]+Fact_Table[[#This Row],[Diesel_Output_BPD]]+Fact_Table[[#This Row],[Gas_Output_BPD]])/Fact_Table[[#This Row],[No_of_Employees]]</f>
        <v>509.08212147134304</v>
      </c>
      <c r="P255" s="2" t="str">
        <f>IF(Fact_Table[[#This Row],[0/P Producyivity/Day]]&gt;=1000,"High",IF(Fact_Table[[#This Row],[0/P Producyivity/Day]]&gt;=500,"Medium","Low"))</f>
        <v>Medium</v>
      </c>
      <c r="Q255" s="10">
        <f>Fact_Table[[#This Row],[Capacity_BPD]]/Fact_Table[[#This Row],[Average_Salary_AED]]</f>
        <v>31.914999731860352</v>
      </c>
      <c r="R255" s="15">
        <f>(Fact_Table[[#This Row],[Petrol_Output_BPD]]/Fact_Table[[#This Row],[Capacity_BPD]])</f>
        <v>0.37514681937562067</v>
      </c>
      <c r="S255" s="15">
        <f>Fact_Table[[#This Row],[Diesel_Output_BPD]]/Fact_Table[[#This Row],[Capacity_BPD]]</f>
        <v>0.4740312441713338</v>
      </c>
      <c r="T255" s="15">
        <f>Fact_Table[[#This Row],[Gas_Output_BPD]]/Fact_Table[[#This Row],[Capacity_BPD]]</f>
        <v>0.1508185757806422</v>
      </c>
      <c r="U255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55" s="8">
        <f ca="1">YEAR(TODAY())-Fact_Table[[#This Row],[Commissioned_Year]]</f>
        <v>4</v>
      </c>
      <c r="W255" s="40" cm="1">
        <f t="array" ref="W255">_xlfn.XLOOKUP(Fact_Table[[#This Row],[Commissioned_Year]],cost_table[[#All],[Year]],cost_table[[#All],[Average_Crude_Price_USD_per_Barrel]],"0")</f>
        <v>54.2</v>
      </c>
      <c r="X255" s="40">
        <f>Fact_Table[[#This Row],[Capacity_BPD]]*Fact_Table[[#This Row],[cost per barrel]]</f>
        <v>32255449.800000001</v>
      </c>
    </row>
    <row r="256" spans="1:24" x14ac:dyDescent="0.35">
      <c r="A256" t="s">
        <v>18</v>
      </c>
      <c r="B256" t="s">
        <v>14</v>
      </c>
      <c r="C256" t="s">
        <v>47</v>
      </c>
      <c r="D256" s="5">
        <v>582514</v>
      </c>
      <c r="E256" s="5">
        <v>1991</v>
      </c>
      <c r="F256" s="5">
        <v>1142</v>
      </c>
      <c r="G256" s="3" t="s">
        <v>28</v>
      </c>
      <c r="H256" s="4">
        <v>2.71</v>
      </c>
      <c r="I256" s="4">
        <v>7.32</v>
      </c>
      <c r="J256" s="5">
        <v>225569</v>
      </c>
      <c r="K256" s="5">
        <v>243421</v>
      </c>
      <c r="L256" s="5">
        <v>113523</v>
      </c>
      <c r="M256" s="3" t="s">
        <v>38</v>
      </c>
      <c r="N256" s="10">
        <v>13201</v>
      </c>
      <c r="O256" s="12">
        <f>(Fact_Table[[#This Row],[Petrol_Output_BPD]]+Fact_Table[[#This Row],[Diesel_Output_BPD]]+Fact_Table[[#This Row],[Gas_Output_BPD]])/Fact_Table[[#This Row],[No_of_Employees]]</f>
        <v>510.08143607705779</v>
      </c>
      <c r="P256" s="2" t="str">
        <f>IF(Fact_Table[[#This Row],[0/P Producyivity/Day]]&gt;=1000,"High",IF(Fact_Table[[#This Row],[0/P Producyivity/Day]]&gt;=500,"Medium","Low"))</f>
        <v>Medium</v>
      </c>
      <c r="Q256" s="10">
        <f>Fact_Table[[#This Row],[Capacity_BPD]]/Fact_Table[[#This Row],[Average_Salary_AED]]</f>
        <v>44.12650556776002</v>
      </c>
      <c r="R256" s="15">
        <f>(Fact_Table[[#This Row],[Petrol_Output_BPD]]/Fact_Table[[#This Row],[Capacity_BPD]])</f>
        <v>0.38723361155268371</v>
      </c>
      <c r="S256" s="15">
        <f>Fact_Table[[#This Row],[Diesel_Output_BPD]]/Fact_Table[[#This Row],[Capacity_BPD]]</f>
        <v>0.41788008528550386</v>
      </c>
      <c r="T256" s="15">
        <f>Fact_Table[[#This Row],[Gas_Output_BPD]]/Fact_Table[[#This Row],[Capacity_BPD]]</f>
        <v>0.19488458646487467</v>
      </c>
      <c r="U25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56" s="8">
        <f ca="1">YEAR(TODAY())-Fact_Table[[#This Row],[Commissioned_Year]]</f>
        <v>34</v>
      </c>
      <c r="W256" s="40" cm="1">
        <f t="array" ref="W256">_xlfn.XLOOKUP(Fact_Table[[#This Row],[Commissioned_Year]],cost_table[[#All],[Year]],cost_table[[#All],[Average_Crude_Price_USD_per_Barrel]],"0")</f>
        <v>18.399999999999999</v>
      </c>
      <c r="X256" s="40">
        <f>Fact_Table[[#This Row],[Capacity_BPD]]*Fact_Table[[#This Row],[cost per barrel]]</f>
        <v>10718257.6</v>
      </c>
    </row>
    <row r="257" spans="1:24" x14ac:dyDescent="0.35">
      <c r="A257" t="s">
        <v>22</v>
      </c>
      <c r="B257" t="s">
        <v>25</v>
      </c>
      <c r="C257" t="s">
        <v>51</v>
      </c>
      <c r="D257" s="5">
        <v>187297</v>
      </c>
      <c r="E257" s="5">
        <v>2004</v>
      </c>
      <c r="F257" s="5">
        <v>1042</v>
      </c>
      <c r="G257" s="3" t="s">
        <v>31</v>
      </c>
      <c r="H257" s="4">
        <v>22.45</v>
      </c>
      <c r="I257" s="4">
        <v>7.33</v>
      </c>
      <c r="J257" s="5">
        <v>68995</v>
      </c>
      <c r="K257" s="5">
        <v>75191</v>
      </c>
      <c r="L257" s="5">
        <v>43109</v>
      </c>
      <c r="M257" s="3" t="s">
        <v>29</v>
      </c>
      <c r="N257" s="10">
        <v>9617</v>
      </c>
      <c r="O257" s="12">
        <f>(Fact_Table[[#This Row],[Petrol_Output_BPD]]+Fact_Table[[#This Row],[Diesel_Output_BPD]]+Fact_Table[[#This Row],[Gas_Output_BPD]])/Fact_Table[[#This Row],[No_of_Employees]]</f>
        <v>179.74568138195778</v>
      </c>
      <c r="P257" s="2" t="str">
        <f>IF(Fact_Table[[#This Row],[0/P Producyivity/Day]]&gt;=1000,"High",IF(Fact_Table[[#This Row],[0/P Producyivity/Day]]&gt;=500,"Medium","Low"))</f>
        <v>Low</v>
      </c>
      <c r="Q257" s="10">
        <f>Fact_Table[[#This Row],[Capacity_BPD]]/Fact_Table[[#This Row],[Average_Salary_AED]]</f>
        <v>19.475616096495788</v>
      </c>
      <c r="R257" s="15">
        <f>(Fact_Table[[#This Row],[Petrol_Output_BPD]]/Fact_Table[[#This Row],[Capacity_BPD]])</f>
        <v>0.36837215758928332</v>
      </c>
      <c r="S257" s="15">
        <f>Fact_Table[[#This Row],[Diesel_Output_BPD]]/Fact_Table[[#This Row],[Capacity_BPD]]</f>
        <v>0.40145330678014063</v>
      </c>
      <c r="T257" s="15">
        <f>Fact_Table[[#This Row],[Gas_Output_BPD]]/Fact_Table[[#This Row],[Capacity_BPD]]</f>
        <v>0.23016385740294826</v>
      </c>
      <c r="U257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57" s="8">
        <f ca="1">YEAR(TODAY())-Fact_Table[[#This Row],[Commissioned_Year]]</f>
        <v>21</v>
      </c>
      <c r="W257" s="40" cm="1">
        <f t="array" ref="W257">_xlfn.XLOOKUP(Fact_Table[[#This Row],[Commissioned_Year]],cost_table[[#All],[Year]],cost_table[[#All],[Average_Crude_Price_USD_per_Barrel]],"0")</f>
        <v>18.600000000000001</v>
      </c>
      <c r="X257" s="40">
        <f>Fact_Table[[#This Row],[Capacity_BPD]]*Fact_Table[[#This Row],[cost per barrel]]</f>
        <v>3483724.2</v>
      </c>
    </row>
    <row r="258" spans="1:24" x14ac:dyDescent="0.35">
      <c r="A258" t="s">
        <v>37</v>
      </c>
      <c r="B258" t="s">
        <v>32</v>
      </c>
      <c r="C258" t="s">
        <v>46</v>
      </c>
      <c r="D258" s="5">
        <v>366440</v>
      </c>
      <c r="E258" s="5">
        <v>1995</v>
      </c>
      <c r="F258" s="5">
        <v>2323</v>
      </c>
      <c r="G258" s="3" t="s">
        <v>28</v>
      </c>
      <c r="H258" s="4">
        <v>9.92</v>
      </c>
      <c r="I258" s="4">
        <v>8.59</v>
      </c>
      <c r="J258" s="5">
        <v>133455</v>
      </c>
      <c r="K258" s="5">
        <v>151422</v>
      </c>
      <c r="L258" s="5">
        <v>81561</v>
      </c>
      <c r="M258" s="3" t="s">
        <v>17</v>
      </c>
      <c r="N258" s="10">
        <v>11947</v>
      </c>
      <c r="O258" s="12">
        <f>(Fact_Table[[#This Row],[Petrol_Output_BPD]]+Fact_Table[[#This Row],[Diesel_Output_BPD]]+Fact_Table[[#This Row],[Gas_Output_BPD]])/Fact_Table[[#This Row],[No_of_Employees]]</f>
        <v>157.74343521308651</v>
      </c>
      <c r="P258" s="2" t="str">
        <f>IF(Fact_Table[[#This Row],[0/P Producyivity/Day]]&gt;=1000,"High",IF(Fact_Table[[#This Row],[0/P Producyivity/Day]]&gt;=500,"Medium","Low"))</f>
        <v>Low</v>
      </c>
      <c r="Q258" s="10">
        <f>Fact_Table[[#This Row],[Capacity_BPD]]/Fact_Table[[#This Row],[Average_Salary_AED]]</f>
        <v>30.672135264083032</v>
      </c>
      <c r="R258" s="15">
        <f>(Fact_Table[[#This Row],[Petrol_Output_BPD]]/Fact_Table[[#This Row],[Capacity_BPD]])</f>
        <v>0.36419331950660411</v>
      </c>
      <c r="S258" s="15">
        <f>Fact_Table[[#This Row],[Diesel_Output_BPD]]/Fact_Table[[#This Row],[Capacity_BPD]]</f>
        <v>0.41322453880580723</v>
      </c>
      <c r="T258" s="15">
        <f>Fact_Table[[#This Row],[Gas_Output_BPD]]/Fact_Table[[#This Row],[Capacity_BPD]]</f>
        <v>0.22257668376814757</v>
      </c>
      <c r="U258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58" s="8">
        <f ca="1">YEAR(TODAY())-Fact_Table[[#This Row],[Commissioned_Year]]</f>
        <v>30</v>
      </c>
      <c r="W258" s="40" cm="1">
        <f t="array" ref="W258">_xlfn.XLOOKUP(Fact_Table[[#This Row],[Commissioned_Year]],cost_table[[#All],[Year]],cost_table[[#All],[Average_Crude_Price_USD_per_Barrel]],"0")</f>
        <v>20.100000000000001</v>
      </c>
      <c r="X258" s="40">
        <f>Fact_Table[[#This Row],[Capacity_BPD]]*Fact_Table[[#This Row],[cost per barrel]]</f>
        <v>7365444.0000000009</v>
      </c>
    </row>
    <row r="259" spans="1:24" x14ac:dyDescent="0.35">
      <c r="A259" t="s">
        <v>36</v>
      </c>
      <c r="B259" t="s">
        <v>14</v>
      </c>
      <c r="C259" t="s">
        <v>50</v>
      </c>
      <c r="D259" s="5">
        <v>337754</v>
      </c>
      <c r="E259" s="5">
        <v>1992</v>
      </c>
      <c r="F259" s="5">
        <v>2366</v>
      </c>
      <c r="G259" s="3" t="s">
        <v>28</v>
      </c>
      <c r="H259" s="4">
        <v>15.64</v>
      </c>
      <c r="I259" s="4">
        <v>9.94</v>
      </c>
      <c r="J259" s="5">
        <v>99715</v>
      </c>
      <c r="K259" s="5">
        <v>182238</v>
      </c>
      <c r="L259" s="5">
        <v>55799</v>
      </c>
      <c r="M259" s="3" t="s">
        <v>34</v>
      </c>
      <c r="N259" s="10">
        <v>22444</v>
      </c>
      <c r="O259" s="12">
        <f>(Fact_Table[[#This Row],[Petrol_Output_BPD]]+Fact_Table[[#This Row],[Diesel_Output_BPD]]+Fact_Table[[#This Row],[Gas_Output_BPD]])/Fact_Table[[#This Row],[No_of_Employees]]</f>
        <v>142.75232459847845</v>
      </c>
      <c r="P259" s="2" t="str">
        <f>IF(Fact_Table[[#This Row],[0/P Producyivity/Day]]&gt;=1000,"High",IF(Fact_Table[[#This Row],[0/P Producyivity/Day]]&gt;=500,"Medium","Low"))</f>
        <v>Low</v>
      </c>
      <c r="Q259" s="10">
        <f>Fact_Table[[#This Row],[Capacity_BPD]]/Fact_Table[[#This Row],[Average_Salary_AED]]</f>
        <v>15.04874353947603</v>
      </c>
      <c r="R259" s="15">
        <f>(Fact_Table[[#This Row],[Petrol_Output_BPD]]/Fact_Table[[#This Row],[Capacity_BPD]])</f>
        <v>0.29522966419346625</v>
      </c>
      <c r="S259" s="15">
        <f>Fact_Table[[#This Row],[Diesel_Output_BPD]]/Fact_Table[[#This Row],[Capacity_BPD]]</f>
        <v>0.53955837680678842</v>
      </c>
      <c r="T259" s="15">
        <f>Fact_Table[[#This Row],[Gas_Output_BPD]]/Fact_Table[[#This Row],[Capacity_BPD]]</f>
        <v>0.16520603753027352</v>
      </c>
      <c r="U259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59" s="8">
        <f ca="1">YEAR(TODAY())-Fact_Table[[#This Row],[Commissioned_Year]]</f>
        <v>33</v>
      </c>
      <c r="W259" s="40" cm="1">
        <f t="array" ref="W259">_xlfn.XLOOKUP(Fact_Table[[#This Row],[Commissioned_Year]],cost_table[[#All],[Year]],cost_table[[#All],[Average_Crude_Price_USD_per_Barrel]],"0")</f>
        <v>14.4</v>
      </c>
      <c r="X259" s="40">
        <f>Fact_Table[[#This Row],[Capacity_BPD]]*Fact_Table[[#This Row],[cost per barrel]]</f>
        <v>4863657.6000000006</v>
      </c>
    </row>
    <row r="260" spans="1:24" x14ac:dyDescent="0.35">
      <c r="A260" t="s">
        <v>30</v>
      </c>
      <c r="B260" t="s">
        <v>26</v>
      </c>
      <c r="C260" t="s">
        <v>15</v>
      </c>
      <c r="D260" s="5">
        <v>320652</v>
      </c>
      <c r="E260" s="5">
        <v>2004</v>
      </c>
      <c r="F260" s="5">
        <v>2227</v>
      </c>
      <c r="G260" s="3" t="s">
        <v>16</v>
      </c>
      <c r="H260" s="4">
        <v>27.17</v>
      </c>
      <c r="I260" s="4">
        <v>9.85</v>
      </c>
      <c r="J260" s="5">
        <v>99519</v>
      </c>
      <c r="K260" s="5">
        <v>155168</v>
      </c>
      <c r="L260" s="5">
        <v>65963</v>
      </c>
      <c r="M260" s="3" t="s">
        <v>34</v>
      </c>
      <c r="N260" s="10">
        <v>16498</v>
      </c>
      <c r="O260" s="12">
        <f>(Fact_Table[[#This Row],[Petrol_Output_BPD]]+Fact_Table[[#This Row],[Diesel_Output_BPD]]+Fact_Table[[#This Row],[Gas_Output_BPD]])/Fact_Table[[#This Row],[No_of_Employees]]</f>
        <v>143.98293668612484</v>
      </c>
      <c r="P260" s="2" t="str">
        <f>IF(Fact_Table[[#This Row],[0/P Producyivity/Day]]&gt;=1000,"High",IF(Fact_Table[[#This Row],[0/P Producyivity/Day]]&gt;=500,"Medium","Low"))</f>
        <v>Low</v>
      </c>
      <c r="Q260" s="10">
        <f>Fact_Table[[#This Row],[Capacity_BPD]]/Fact_Table[[#This Row],[Average_Salary_AED]]</f>
        <v>19.43581040126076</v>
      </c>
      <c r="R260" s="15">
        <f>(Fact_Table[[#This Row],[Petrol_Output_BPD]]/Fact_Table[[#This Row],[Capacity_BPD]])</f>
        <v>0.31036450731634296</v>
      </c>
      <c r="S260" s="15">
        <f>Fact_Table[[#This Row],[Diesel_Output_BPD]]/Fact_Table[[#This Row],[Capacity_BPD]]</f>
        <v>0.48391402517370857</v>
      </c>
      <c r="T260" s="15">
        <f>Fact_Table[[#This Row],[Gas_Output_BPD]]/Fact_Table[[#This Row],[Capacity_BPD]]</f>
        <v>0.20571523021842994</v>
      </c>
      <c r="U260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60" s="8">
        <f ca="1">YEAR(TODAY())-Fact_Table[[#This Row],[Commissioned_Year]]</f>
        <v>21</v>
      </c>
      <c r="W260" s="40" cm="1">
        <f t="array" ref="W260">_xlfn.XLOOKUP(Fact_Table[[#This Row],[Commissioned_Year]],cost_table[[#All],[Year]],cost_table[[#All],[Average_Crude_Price_USD_per_Barrel]],"0")</f>
        <v>18.600000000000001</v>
      </c>
      <c r="X260" s="40">
        <f>Fact_Table[[#This Row],[Capacity_BPD]]*Fact_Table[[#This Row],[cost per barrel]]</f>
        <v>5964127.2000000002</v>
      </c>
    </row>
    <row r="261" spans="1:24" x14ac:dyDescent="0.35">
      <c r="A261" t="s">
        <v>18</v>
      </c>
      <c r="B261" t="s">
        <v>32</v>
      </c>
      <c r="C261" t="s">
        <v>20</v>
      </c>
      <c r="D261" s="5">
        <v>345051</v>
      </c>
      <c r="E261" s="5">
        <v>2017</v>
      </c>
      <c r="F261" s="5">
        <v>1746</v>
      </c>
      <c r="G261" s="3" t="s">
        <v>21</v>
      </c>
      <c r="H261" s="4">
        <v>10.98</v>
      </c>
      <c r="I261" s="4">
        <v>6.42</v>
      </c>
      <c r="J261" s="5">
        <v>149247</v>
      </c>
      <c r="K261" s="5">
        <v>113710</v>
      </c>
      <c r="L261" s="5">
        <v>82092</v>
      </c>
      <c r="M261" s="3" t="s">
        <v>17</v>
      </c>
      <c r="N261" s="10">
        <v>13200</v>
      </c>
      <c r="O261" s="12">
        <f>(Fact_Table[[#This Row],[Petrol_Output_BPD]]+Fact_Table[[#This Row],[Diesel_Output_BPD]]+Fact_Table[[#This Row],[Gas_Output_BPD]])/Fact_Table[[#This Row],[No_of_Employees]]</f>
        <v>197.62256586483392</v>
      </c>
      <c r="P261" s="2" t="str">
        <f>IF(Fact_Table[[#This Row],[0/P Producyivity/Day]]&gt;=1000,"High",IF(Fact_Table[[#This Row],[0/P Producyivity/Day]]&gt;=500,"Medium","Low"))</f>
        <v>Low</v>
      </c>
      <c r="Q261" s="10">
        <f>Fact_Table[[#This Row],[Capacity_BPD]]/Fact_Table[[#This Row],[Average_Salary_AED]]</f>
        <v>26.140227272727273</v>
      </c>
      <c r="R261" s="15">
        <f>(Fact_Table[[#This Row],[Petrol_Output_BPD]]/Fact_Table[[#This Row],[Capacity_BPD]])</f>
        <v>0.43253605988679933</v>
      </c>
      <c r="S261" s="15">
        <f>Fact_Table[[#This Row],[Diesel_Output_BPD]]/Fact_Table[[#This Row],[Capacity_BPD]]</f>
        <v>0.32954548747866258</v>
      </c>
      <c r="T261" s="15">
        <f>Fact_Table[[#This Row],[Gas_Output_BPD]]/Fact_Table[[#This Row],[Capacity_BPD]]</f>
        <v>0.23791265638992498</v>
      </c>
      <c r="U26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61" s="8">
        <f ca="1">YEAR(TODAY())-Fact_Table[[#This Row],[Commissioned_Year]]</f>
        <v>8</v>
      </c>
      <c r="W261" s="40" cm="1">
        <f t="array" ref="W261">_xlfn.XLOOKUP(Fact_Table[[#This Row],[Commissioned_Year]],cost_table[[#All],[Year]],cost_table[[#All],[Average_Crude_Price_USD_per_Barrel]],"0")</f>
        <v>71.3</v>
      </c>
      <c r="X261" s="40">
        <f>Fact_Table[[#This Row],[Capacity_BPD]]*Fact_Table[[#This Row],[cost per barrel]]</f>
        <v>24602136.300000001</v>
      </c>
    </row>
    <row r="262" spans="1:24" x14ac:dyDescent="0.35">
      <c r="A262" t="s">
        <v>27</v>
      </c>
      <c r="B262" t="s">
        <v>25</v>
      </c>
      <c r="C262" t="s">
        <v>15</v>
      </c>
      <c r="D262" s="5">
        <v>571851</v>
      </c>
      <c r="E262" s="5">
        <v>1986</v>
      </c>
      <c r="F262" s="5">
        <v>701</v>
      </c>
      <c r="G262" s="3" t="s">
        <v>21</v>
      </c>
      <c r="H262" s="4">
        <v>12.02</v>
      </c>
      <c r="I262" s="4">
        <v>6.03</v>
      </c>
      <c r="J262" s="5">
        <v>236139</v>
      </c>
      <c r="K262" s="5">
        <v>222880</v>
      </c>
      <c r="L262" s="5">
        <v>112831</v>
      </c>
      <c r="M262" s="3" t="s">
        <v>17</v>
      </c>
      <c r="N262" s="10">
        <v>21944</v>
      </c>
      <c r="O262" s="12">
        <f>(Fact_Table[[#This Row],[Petrol_Output_BPD]]+Fact_Table[[#This Row],[Diesel_Output_BPD]]+Fact_Table[[#This Row],[Gas_Output_BPD]])/Fact_Table[[#This Row],[No_of_Employees]]</f>
        <v>815.76319543509271</v>
      </c>
      <c r="P262" s="2" t="str">
        <f>IF(Fact_Table[[#This Row],[0/P Producyivity/Day]]&gt;=1000,"High",IF(Fact_Table[[#This Row],[0/P Producyivity/Day]]&gt;=500,"Medium","Low"))</f>
        <v>Medium</v>
      </c>
      <c r="Q262" s="10">
        <f>Fact_Table[[#This Row],[Capacity_BPD]]/Fact_Table[[#This Row],[Average_Salary_AED]]</f>
        <v>26.059560699963544</v>
      </c>
      <c r="R262" s="15">
        <f>(Fact_Table[[#This Row],[Petrol_Output_BPD]]/Fact_Table[[#This Row],[Capacity_BPD]])</f>
        <v>0.41293798559414951</v>
      </c>
      <c r="S262" s="15">
        <f>Fact_Table[[#This Row],[Diesel_Output_BPD]]/Fact_Table[[#This Row],[Capacity_BPD]]</f>
        <v>0.38975187592572191</v>
      </c>
      <c r="T262" s="15">
        <f>Fact_Table[[#This Row],[Gas_Output_BPD]]/Fact_Table[[#This Row],[Capacity_BPD]]</f>
        <v>0.19730838977286042</v>
      </c>
      <c r="U26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62" s="8">
        <f ca="1">YEAR(TODAY())-Fact_Table[[#This Row],[Commissioned_Year]]</f>
        <v>39</v>
      </c>
      <c r="W262" s="40" cm="1">
        <f t="array" ref="W262">_xlfn.XLOOKUP(Fact_Table[[#This Row],[Commissioned_Year]],cost_table[[#All],[Year]],cost_table[[#All],[Average_Crude_Price_USD_per_Barrel]],"0")</f>
        <v>14.4</v>
      </c>
      <c r="X262" s="40">
        <f>Fact_Table[[#This Row],[Capacity_BPD]]*Fact_Table[[#This Row],[cost per barrel]]</f>
        <v>8234654.4000000004</v>
      </c>
    </row>
    <row r="263" spans="1:24" x14ac:dyDescent="0.35">
      <c r="A263" t="s">
        <v>36</v>
      </c>
      <c r="B263" t="s">
        <v>25</v>
      </c>
      <c r="C263" t="s">
        <v>33</v>
      </c>
      <c r="D263" s="5">
        <v>68465</v>
      </c>
      <c r="E263" s="5">
        <v>1980</v>
      </c>
      <c r="F263" s="5">
        <v>2149</v>
      </c>
      <c r="G263" s="3" t="s">
        <v>21</v>
      </c>
      <c r="H263" s="4">
        <v>32.729999999999997</v>
      </c>
      <c r="I263" s="4">
        <v>9.94</v>
      </c>
      <c r="J263" s="5">
        <v>30473</v>
      </c>
      <c r="K263" s="5">
        <v>29441</v>
      </c>
      <c r="L263" s="5">
        <v>8549</v>
      </c>
      <c r="M263" s="3" t="s">
        <v>29</v>
      </c>
      <c r="N263" s="10">
        <v>19800</v>
      </c>
      <c r="O263" s="12">
        <f>(Fact_Table[[#This Row],[Petrol_Output_BPD]]+Fact_Table[[#This Row],[Diesel_Output_BPD]]+Fact_Table[[#This Row],[Gas_Output_BPD]])/Fact_Table[[#This Row],[No_of_Employees]]</f>
        <v>31.858073522568638</v>
      </c>
      <c r="P263" s="2" t="str">
        <f>IF(Fact_Table[[#This Row],[0/P Producyivity/Day]]&gt;=1000,"High",IF(Fact_Table[[#This Row],[0/P Producyivity/Day]]&gt;=500,"Medium","Low"))</f>
        <v>Low</v>
      </c>
      <c r="Q263" s="10">
        <f>Fact_Table[[#This Row],[Capacity_BPD]]/Fact_Table[[#This Row],[Average_Salary_AED]]</f>
        <v>3.4578282828282827</v>
      </c>
      <c r="R263" s="15">
        <f>(Fact_Table[[#This Row],[Petrol_Output_BPD]]/Fact_Table[[#This Row],[Capacity_BPD]])</f>
        <v>0.44508873146863359</v>
      </c>
      <c r="S263" s="15">
        <f>Fact_Table[[#This Row],[Diesel_Output_BPD]]/Fact_Table[[#This Row],[Capacity_BPD]]</f>
        <v>0.43001533630322064</v>
      </c>
      <c r="T263" s="15">
        <f>Fact_Table[[#This Row],[Gas_Output_BPD]]/Fact_Table[[#This Row],[Capacity_BPD]]</f>
        <v>0.12486672022201124</v>
      </c>
      <c r="U263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63" s="8">
        <f ca="1">YEAR(TODAY())-Fact_Table[[#This Row],[Commissioned_Year]]</f>
        <v>45</v>
      </c>
      <c r="W263" s="40" cm="1">
        <f t="array" ref="W263">_xlfn.XLOOKUP(Fact_Table[[#This Row],[Commissioned_Year]],cost_table[[#All],[Year]],cost_table[[#All],[Average_Crude_Price_USD_per_Barrel]],"0")</f>
        <v>36.799999999999997</v>
      </c>
      <c r="X263" s="40">
        <f>Fact_Table[[#This Row],[Capacity_BPD]]*Fact_Table[[#This Row],[cost per barrel]]</f>
        <v>2519512</v>
      </c>
    </row>
    <row r="264" spans="1:24" x14ac:dyDescent="0.35">
      <c r="A264" t="s">
        <v>37</v>
      </c>
      <c r="B264" t="s">
        <v>32</v>
      </c>
      <c r="C264" t="s">
        <v>39</v>
      </c>
      <c r="D264" s="5">
        <v>193443</v>
      </c>
      <c r="E264" s="5">
        <v>2021</v>
      </c>
      <c r="F264" s="5">
        <v>2013</v>
      </c>
      <c r="G264" s="3" t="s">
        <v>28</v>
      </c>
      <c r="H264" s="4">
        <v>9.74</v>
      </c>
      <c r="I264" s="4">
        <v>9.5</v>
      </c>
      <c r="J264" s="5">
        <v>80856</v>
      </c>
      <c r="K264" s="5">
        <v>89179</v>
      </c>
      <c r="L264" s="5">
        <v>23406</v>
      </c>
      <c r="M264" s="3" t="s">
        <v>17</v>
      </c>
      <c r="N264" s="10">
        <v>24911</v>
      </c>
      <c r="O264" s="12">
        <f>(Fact_Table[[#This Row],[Petrol_Output_BPD]]+Fact_Table[[#This Row],[Diesel_Output_BPD]]+Fact_Table[[#This Row],[Gas_Output_BPD]])/Fact_Table[[#This Row],[No_of_Employees]]</f>
        <v>96.095876800794827</v>
      </c>
      <c r="P264" s="2" t="str">
        <f>IF(Fact_Table[[#This Row],[0/P Producyivity/Day]]&gt;=1000,"High",IF(Fact_Table[[#This Row],[0/P Producyivity/Day]]&gt;=500,"Medium","Low"))</f>
        <v>Low</v>
      </c>
      <c r="Q264" s="10">
        <f>Fact_Table[[#This Row],[Capacity_BPD]]/Fact_Table[[#This Row],[Average_Salary_AED]]</f>
        <v>7.7653646983260405</v>
      </c>
      <c r="R264" s="15">
        <f>(Fact_Table[[#This Row],[Petrol_Output_BPD]]/Fact_Table[[#This Row],[Capacity_BPD]])</f>
        <v>0.41798359206587987</v>
      </c>
      <c r="S264" s="15">
        <f>Fact_Table[[#This Row],[Diesel_Output_BPD]]/Fact_Table[[#This Row],[Capacity_BPD]]</f>
        <v>0.46100918616853542</v>
      </c>
      <c r="T264" s="15">
        <f>Fact_Table[[#This Row],[Gas_Output_BPD]]/Fact_Table[[#This Row],[Capacity_BPD]]</f>
        <v>0.12099688280268606</v>
      </c>
      <c r="U264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64" s="8">
        <f ca="1">YEAR(TODAY())-Fact_Table[[#This Row],[Commissioned_Year]]</f>
        <v>4</v>
      </c>
      <c r="W264" s="40" cm="1">
        <f t="array" ref="W264">_xlfn.XLOOKUP(Fact_Table[[#This Row],[Commissioned_Year]],cost_table[[#All],[Year]],cost_table[[#All],[Average_Crude_Price_USD_per_Barrel]],"0")</f>
        <v>54.2</v>
      </c>
      <c r="X264" s="40">
        <f>Fact_Table[[#This Row],[Capacity_BPD]]*Fact_Table[[#This Row],[cost per barrel]]</f>
        <v>10484610.6</v>
      </c>
    </row>
    <row r="265" spans="1:24" x14ac:dyDescent="0.35">
      <c r="A265" t="s">
        <v>60</v>
      </c>
      <c r="B265" t="s">
        <v>26</v>
      </c>
      <c r="C265" t="s">
        <v>48</v>
      </c>
      <c r="D265" s="5">
        <v>627738</v>
      </c>
      <c r="E265" s="5">
        <v>1977</v>
      </c>
      <c r="F265" s="5">
        <v>1724</v>
      </c>
      <c r="G265" s="3" t="s">
        <v>21</v>
      </c>
      <c r="H265" s="4">
        <v>22.77</v>
      </c>
      <c r="I265" s="4">
        <v>7.6</v>
      </c>
      <c r="J265" s="5">
        <v>279181</v>
      </c>
      <c r="K265" s="5">
        <v>248286</v>
      </c>
      <c r="L265" s="5">
        <v>100269</v>
      </c>
      <c r="M265" s="3" t="s">
        <v>23</v>
      </c>
      <c r="N265" s="10">
        <v>20856</v>
      </c>
      <c r="O265" s="12">
        <f>(Fact_Table[[#This Row],[Petrol_Output_BPD]]+Fact_Table[[#This Row],[Diesel_Output_BPD]]+Fact_Table[[#This Row],[Gas_Output_BPD]])/Fact_Table[[#This Row],[No_of_Employees]]</f>
        <v>364.11600928074245</v>
      </c>
      <c r="P265" s="2" t="str">
        <f>IF(Fact_Table[[#This Row],[0/P Producyivity/Day]]&gt;=1000,"High",IF(Fact_Table[[#This Row],[0/P Producyivity/Day]]&gt;=500,"Medium","Low"))</f>
        <v>Low</v>
      </c>
      <c r="Q265" s="10">
        <f>Fact_Table[[#This Row],[Capacity_BPD]]/Fact_Table[[#This Row],[Average_Salary_AED]]</f>
        <v>30.098676639815881</v>
      </c>
      <c r="R265" s="15">
        <f>(Fact_Table[[#This Row],[Petrol_Output_BPD]]/Fact_Table[[#This Row],[Capacity_BPD]])</f>
        <v>0.44474127741191388</v>
      </c>
      <c r="S265" s="15">
        <f>Fact_Table[[#This Row],[Diesel_Output_BPD]]/Fact_Table[[#This Row],[Capacity_BPD]]</f>
        <v>0.39552488458560736</v>
      </c>
      <c r="T265" s="15">
        <f>Fact_Table[[#This Row],[Gas_Output_BPD]]/Fact_Table[[#This Row],[Capacity_BPD]]</f>
        <v>0.15973065195989408</v>
      </c>
      <c r="U265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65" s="8">
        <f ca="1">YEAR(TODAY())-Fact_Table[[#This Row],[Commissioned_Year]]</f>
        <v>48</v>
      </c>
      <c r="W265" s="40" cm="1">
        <f t="array" ref="W265">_xlfn.XLOOKUP(Fact_Table[[#This Row],[Commissioned_Year]],cost_table[[#All],[Year]],cost_table[[#All],[Average_Crude_Price_USD_per_Barrel]],"0")</f>
        <v>12.8</v>
      </c>
      <c r="X265" s="40">
        <f>Fact_Table[[#This Row],[Capacity_BPD]]*Fact_Table[[#This Row],[cost per barrel]]</f>
        <v>8035046.4000000004</v>
      </c>
    </row>
    <row r="266" spans="1:24" x14ac:dyDescent="0.35">
      <c r="A266" t="s">
        <v>60</v>
      </c>
      <c r="B266" t="s">
        <v>19</v>
      </c>
      <c r="C266" t="s">
        <v>47</v>
      </c>
      <c r="D266" s="5">
        <v>672331</v>
      </c>
      <c r="E266" s="5">
        <v>2019</v>
      </c>
      <c r="F266" s="5">
        <v>1797</v>
      </c>
      <c r="G266" s="3" t="s">
        <v>21</v>
      </c>
      <c r="H266" s="4">
        <v>13.96</v>
      </c>
      <c r="I266" s="4">
        <v>6.38</v>
      </c>
      <c r="J266" s="5">
        <v>297627</v>
      </c>
      <c r="K266" s="5">
        <v>212629</v>
      </c>
      <c r="L266" s="5">
        <v>162073</v>
      </c>
      <c r="M266" s="3" t="s">
        <v>29</v>
      </c>
      <c r="N266" s="10">
        <v>8323</v>
      </c>
      <c r="O266" s="12">
        <f>(Fact_Table[[#This Row],[Petrol_Output_BPD]]+Fact_Table[[#This Row],[Diesel_Output_BPD]]+Fact_Table[[#This Row],[Gas_Output_BPD]])/Fact_Table[[#This Row],[No_of_Employees]]</f>
        <v>374.13967723984416</v>
      </c>
      <c r="P266" s="2" t="str">
        <f>IF(Fact_Table[[#This Row],[0/P Producyivity/Day]]&gt;=1000,"High",IF(Fact_Table[[#This Row],[0/P Producyivity/Day]]&gt;=500,"Medium","Low"))</f>
        <v>Low</v>
      </c>
      <c r="Q266" s="10">
        <f>Fact_Table[[#This Row],[Capacity_BPD]]/Fact_Table[[#This Row],[Average_Salary_AED]]</f>
        <v>80.779887059954348</v>
      </c>
      <c r="R266" s="15">
        <f>(Fact_Table[[#This Row],[Petrol_Output_BPD]]/Fact_Table[[#This Row],[Capacity_BPD]])</f>
        <v>0.44267927553541336</v>
      </c>
      <c r="S266" s="15">
        <f>Fact_Table[[#This Row],[Diesel_Output_BPD]]/Fact_Table[[#This Row],[Capacity_BPD]]</f>
        <v>0.31625642726573666</v>
      </c>
      <c r="T266" s="15">
        <f>Fact_Table[[#This Row],[Gas_Output_BPD]]/Fact_Table[[#This Row],[Capacity_BPD]]</f>
        <v>0.24106132247360304</v>
      </c>
      <c r="U26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66" s="8">
        <f ca="1">YEAR(TODAY())-Fact_Table[[#This Row],[Commissioned_Year]]</f>
        <v>6</v>
      </c>
      <c r="W266" s="40" cm="1">
        <f t="array" ref="W266">_xlfn.XLOOKUP(Fact_Table[[#This Row],[Commissioned_Year]],cost_table[[#All],[Year]],cost_table[[#All],[Average_Crude_Price_USD_per_Barrel]],"0")</f>
        <v>52.3</v>
      </c>
      <c r="X266" s="40">
        <f>Fact_Table[[#This Row],[Capacity_BPD]]*Fact_Table[[#This Row],[cost per barrel]]</f>
        <v>35162911.299999997</v>
      </c>
    </row>
    <row r="267" spans="1:24" x14ac:dyDescent="0.35">
      <c r="A267" t="s">
        <v>45</v>
      </c>
      <c r="B267" t="s">
        <v>40</v>
      </c>
      <c r="C267" t="s">
        <v>33</v>
      </c>
      <c r="D267" s="5">
        <v>60675</v>
      </c>
      <c r="E267" s="5">
        <v>2000</v>
      </c>
      <c r="F267" s="5">
        <v>1476</v>
      </c>
      <c r="G267" s="3" t="s">
        <v>21</v>
      </c>
      <c r="H267" s="4">
        <v>15.34</v>
      </c>
      <c r="I267" s="4">
        <v>6.28</v>
      </c>
      <c r="J267" s="5">
        <v>22575</v>
      </c>
      <c r="K267" s="5">
        <v>30296</v>
      </c>
      <c r="L267" s="5">
        <v>7802</v>
      </c>
      <c r="M267" s="3" t="s">
        <v>38</v>
      </c>
      <c r="N267" s="10">
        <v>20403</v>
      </c>
      <c r="O267" s="12">
        <f>(Fact_Table[[#This Row],[Petrol_Output_BPD]]+Fact_Table[[#This Row],[Diesel_Output_BPD]]+Fact_Table[[#This Row],[Gas_Output_BPD]])/Fact_Table[[#This Row],[No_of_Employees]]</f>
        <v>41.106368563685635</v>
      </c>
      <c r="P267" s="2" t="str">
        <f>IF(Fact_Table[[#This Row],[0/P Producyivity/Day]]&gt;=1000,"High",IF(Fact_Table[[#This Row],[0/P Producyivity/Day]]&gt;=500,"Medium","Low"))</f>
        <v>Low</v>
      </c>
      <c r="Q267" s="10">
        <f>Fact_Table[[#This Row],[Capacity_BPD]]/Fact_Table[[#This Row],[Average_Salary_AED]]</f>
        <v>2.9738273783267166</v>
      </c>
      <c r="R267" s="15">
        <f>(Fact_Table[[#This Row],[Petrol_Output_BPD]]/Fact_Table[[#This Row],[Capacity_BPD]])</f>
        <v>0.37206427688504329</v>
      </c>
      <c r="S267" s="15">
        <f>Fact_Table[[#This Row],[Diesel_Output_BPD]]/Fact_Table[[#This Row],[Capacity_BPD]]</f>
        <v>0.49931602801812935</v>
      </c>
      <c r="T267" s="15">
        <f>Fact_Table[[#This Row],[Gas_Output_BPD]]/Fact_Table[[#This Row],[Capacity_BPD]]</f>
        <v>0.12858673259167697</v>
      </c>
      <c r="U267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67" s="8">
        <f ca="1">YEAR(TODAY())-Fact_Table[[#This Row],[Commissioned_Year]]</f>
        <v>25</v>
      </c>
      <c r="W267" s="40" cm="1">
        <f t="array" ref="W267">_xlfn.XLOOKUP(Fact_Table[[#This Row],[Commissioned_Year]],cost_table[[#All],[Year]],cost_table[[#All],[Average_Crude_Price_USD_per_Barrel]],"0")</f>
        <v>23.1</v>
      </c>
      <c r="X267" s="40">
        <f>Fact_Table[[#This Row],[Capacity_BPD]]*Fact_Table[[#This Row],[cost per barrel]]</f>
        <v>1401592.5</v>
      </c>
    </row>
    <row r="268" spans="1:24" x14ac:dyDescent="0.35">
      <c r="A268" t="s">
        <v>37</v>
      </c>
      <c r="B268" t="s">
        <v>32</v>
      </c>
      <c r="C268" t="s">
        <v>39</v>
      </c>
      <c r="D268" s="5">
        <v>251687</v>
      </c>
      <c r="E268" s="5">
        <v>1979</v>
      </c>
      <c r="F268" s="5">
        <v>1437</v>
      </c>
      <c r="G268" s="3" t="s">
        <v>16</v>
      </c>
      <c r="H268" s="4">
        <v>24.79</v>
      </c>
      <c r="I268" s="4">
        <v>8.8699999999999992</v>
      </c>
      <c r="J268" s="5">
        <v>90313</v>
      </c>
      <c r="K268" s="5">
        <v>119763</v>
      </c>
      <c r="L268" s="5">
        <v>41609</v>
      </c>
      <c r="M268" s="3" t="s">
        <v>17</v>
      </c>
      <c r="N268" s="10">
        <v>18876</v>
      </c>
      <c r="O268" s="12">
        <f>(Fact_Table[[#This Row],[Petrol_Output_BPD]]+Fact_Table[[#This Row],[Diesel_Output_BPD]]+Fact_Table[[#This Row],[Gas_Output_BPD]])/Fact_Table[[#This Row],[No_of_Employees]]</f>
        <v>175.14613778705638</v>
      </c>
      <c r="P268" s="2" t="str">
        <f>IF(Fact_Table[[#This Row],[0/P Producyivity/Day]]&gt;=1000,"High",IF(Fact_Table[[#This Row],[0/P Producyivity/Day]]&gt;=500,"Medium","Low"))</f>
        <v>Low</v>
      </c>
      <c r="Q268" s="10">
        <f>Fact_Table[[#This Row],[Capacity_BPD]]/Fact_Table[[#This Row],[Average_Salary_AED]]</f>
        <v>13.333704174613265</v>
      </c>
      <c r="R268" s="15">
        <f>(Fact_Table[[#This Row],[Petrol_Output_BPD]]/Fact_Table[[#This Row],[Capacity_BPD]])</f>
        <v>0.3588306110367242</v>
      </c>
      <c r="S268" s="15">
        <f>Fact_Table[[#This Row],[Diesel_Output_BPD]]/Fact_Table[[#This Row],[Capacity_BPD]]</f>
        <v>0.47584102476488654</v>
      </c>
      <c r="T268" s="15">
        <f>Fact_Table[[#This Row],[Gas_Output_BPD]]/Fact_Table[[#This Row],[Capacity_BPD]]</f>
        <v>0.16532041782054696</v>
      </c>
      <c r="U268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68" s="8">
        <f ca="1">YEAR(TODAY())-Fact_Table[[#This Row],[Commissioned_Year]]</f>
        <v>46</v>
      </c>
      <c r="W268" s="40" cm="1">
        <f t="array" ref="W268">_xlfn.XLOOKUP(Fact_Table[[#This Row],[Commissioned_Year]],cost_table[[#All],[Year]],cost_table[[#All],[Average_Crude_Price_USD_per_Barrel]],"0")</f>
        <v>31.6</v>
      </c>
      <c r="X268" s="40">
        <f>Fact_Table[[#This Row],[Capacity_BPD]]*Fact_Table[[#This Row],[cost per barrel]]</f>
        <v>7953309.2000000002</v>
      </c>
    </row>
    <row r="269" spans="1:24" x14ac:dyDescent="0.35">
      <c r="A269" t="s">
        <v>24</v>
      </c>
      <c r="B269" t="s">
        <v>41</v>
      </c>
      <c r="C269" t="s">
        <v>48</v>
      </c>
      <c r="D269" s="5">
        <v>571690</v>
      </c>
      <c r="E269" s="5">
        <v>2009</v>
      </c>
      <c r="F269" s="5">
        <v>1546</v>
      </c>
      <c r="G269" s="3" t="s">
        <v>28</v>
      </c>
      <c r="H269" s="4">
        <v>31.27</v>
      </c>
      <c r="I269" s="4">
        <v>5.49</v>
      </c>
      <c r="J269" s="5">
        <v>240925</v>
      </c>
      <c r="K269" s="5">
        <v>227240</v>
      </c>
      <c r="L269" s="5">
        <v>103523</v>
      </c>
      <c r="M269" s="3" t="s">
        <v>23</v>
      </c>
      <c r="N269" s="10">
        <v>14219</v>
      </c>
      <c r="O269" s="12">
        <f>(Fact_Table[[#This Row],[Petrol_Output_BPD]]+Fact_Table[[#This Row],[Diesel_Output_BPD]]+Fact_Table[[#This Row],[Gas_Output_BPD]])/Fact_Table[[#This Row],[No_of_Employees]]</f>
        <v>369.78525226390684</v>
      </c>
      <c r="P269" s="2" t="str">
        <f>IF(Fact_Table[[#This Row],[0/P Producyivity/Day]]&gt;=1000,"High",IF(Fact_Table[[#This Row],[0/P Producyivity/Day]]&gt;=500,"Medium","Low"))</f>
        <v>Low</v>
      </c>
      <c r="Q269" s="10">
        <f>Fact_Table[[#This Row],[Capacity_BPD]]/Fact_Table[[#This Row],[Average_Salary_AED]]</f>
        <v>40.206062310992337</v>
      </c>
      <c r="R269" s="15">
        <f>(Fact_Table[[#This Row],[Petrol_Output_BPD]]/Fact_Table[[#This Row],[Capacity_BPD]])</f>
        <v>0.42142594762895974</v>
      </c>
      <c r="S269" s="15">
        <f>Fact_Table[[#This Row],[Diesel_Output_BPD]]/Fact_Table[[#This Row],[Capacity_BPD]]</f>
        <v>0.3974881491717539</v>
      </c>
      <c r="T269" s="15">
        <f>Fact_Table[[#This Row],[Gas_Output_BPD]]/Fact_Table[[#This Row],[Capacity_BPD]]</f>
        <v>0.18108240479980409</v>
      </c>
      <c r="U269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69" s="8">
        <f ca="1">YEAR(TODAY())-Fact_Table[[#This Row],[Commissioned_Year]]</f>
        <v>16</v>
      </c>
      <c r="W269" s="40" cm="1">
        <f t="array" ref="W269">_xlfn.XLOOKUP(Fact_Table[[#This Row],[Commissioned_Year]],cost_table[[#All],[Year]],cost_table[[#All],[Average_Crude_Price_USD_per_Barrel]],"0")</f>
        <v>41.4</v>
      </c>
      <c r="X269" s="40">
        <f>Fact_Table[[#This Row],[Capacity_BPD]]*Fact_Table[[#This Row],[cost per barrel]]</f>
        <v>23667966</v>
      </c>
    </row>
    <row r="270" spans="1:24" x14ac:dyDescent="0.35">
      <c r="A270" t="s">
        <v>60</v>
      </c>
      <c r="B270" t="s">
        <v>40</v>
      </c>
      <c r="C270" t="s">
        <v>48</v>
      </c>
      <c r="D270" s="5">
        <v>881204</v>
      </c>
      <c r="E270" s="5">
        <v>1987</v>
      </c>
      <c r="F270" s="5">
        <v>1892</v>
      </c>
      <c r="G270" s="3" t="s">
        <v>28</v>
      </c>
      <c r="H270" s="4">
        <v>23.74</v>
      </c>
      <c r="I270" s="4">
        <v>8.2200000000000006</v>
      </c>
      <c r="J270" s="5">
        <v>280763</v>
      </c>
      <c r="K270" s="5">
        <v>392088</v>
      </c>
      <c r="L270" s="5">
        <v>208351</v>
      </c>
      <c r="M270" s="3" t="s">
        <v>38</v>
      </c>
      <c r="N270" s="10">
        <v>23138</v>
      </c>
      <c r="O270" s="12">
        <f>(Fact_Table[[#This Row],[Petrol_Output_BPD]]+Fact_Table[[#This Row],[Diesel_Output_BPD]]+Fact_Table[[#This Row],[Gas_Output_BPD]])/Fact_Table[[#This Row],[No_of_Employees]]</f>
        <v>465.75158562367864</v>
      </c>
      <c r="P270" s="2" t="str">
        <f>IF(Fact_Table[[#This Row],[0/P Producyivity/Day]]&gt;=1000,"High",IF(Fact_Table[[#This Row],[0/P Producyivity/Day]]&gt;=500,"Medium","Low"))</f>
        <v>Low</v>
      </c>
      <c r="Q270" s="10">
        <f>Fact_Table[[#This Row],[Capacity_BPD]]/Fact_Table[[#This Row],[Average_Salary_AED]]</f>
        <v>38.084709136485436</v>
      </c>
      <c r="R270" s="15">
        <f>(Fact_Table[[#This Row],[Petrol_Output_BPD]]/Fact_Table[[#This Row],[Capacity_BPD]])</f>
        <v>0.31861294320043942</v>
      </c>
      <c r="S270" s="15">
        <f>Fact_Table[[#This Row],[Diesel_Output_BPD]]/Fact_Table[[#This Row],[Capacity_BPD]]</f>
        <v>0.44494577873001029</v>
      </c>
      <c r="T270" s="15">
        <f>Fact_Table[[#This Row],[Gas_Output_BPD]]/Fact_Table[[#This Row],[Capacity_BPD]]</f>
        <v>0.23643900844753316</v>
      </c>
      <c r="U270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70" s="8">
        <f ca="1">YEAR(TODAY())-Fact_Table[[#This Row],[Commissioned_Year]]</f>
        <v>38</v>
      </c>
      <c r="W270" s="40" cm="1">
        <f t="array" ref="W270">_xlfn.XLOOKUP(Fact_Table[[#This Row],[Commissioned_Year]],cost_table[[#All],[Year]],cost_table[[#All],[Average_Crude_Price_USD_per_Barrel]],"0")</f>
        <v>18.399999999999999</v>
      </c>
      <c r="X270" s="40">
        <f>Fact_Table[[#This Row],[Capacity_BPD]]*Fact_Table[[#This Row],[cost per barrel]]</f>
        <v>16214153.6</v>
      </c>
    </row>
    <row r="271" spans="1:24" x14ac:dyDescent="0.35">
      <c r="A271" t="s">
        <v>24</v>
      </c>
      <c r="B271" t="s">
        <v>25</v>
      </c>
      <c r="C271" t="s">
        <v>51</v>
      </c>
      <c r="D271" s="5">
        <v>445675</v>
      </c>
      <c r="E271" s="5">
        <v>1983</v>
      </c>
      <c r="F271" s="5">
        <v>1999</v>
      </c>
      <c r="G271" s="3" t="s">
        <v>31</v>
      </c>
      <c r="H271" s="4">
        <v>19.39</v>
      </c>
      <c r="I271" s="4">
        <v>6.31</v>
      </c>
      <c r="J271" s="5">
        <v>187252</v>
      </c>
      <c r="K271" s="5">
        <v>188845</v>
      </c>
      <c r="L271" s="5">
        <v>69576</v>
      </c>
      <c r="M271" s="3" t="s">
        <v>34</v>
      </c>
      <c r="N271" s="10">
        <v>14755</v>
      </c>
      <c r="O271" s="12">
        <f>(Fact_Table[[#This Row],[Petrol_Output_BPD]]+Fact_Table[[#This Row],[Diesel_Output_BPD]]+Fact_Table[[#This Row],[Gas_Output_BPD]])/Fact_Table[[#This Row],[No_of_Employees]]</f>
        <v>222.9479739869935</v>
      </c>
      <c r="P271" s="2" t="str">
        <f>IF(Fact_Table[[#This Row],[0/P Producyivity/Day]]&gt;=1000,"High",IF(Fact_Table[[#This Row],[0/P Producyivity/Day]]&gt;=500,"Medium","Low"))</f>
        <v>Low</v>
      </c>
      <c r="Q271" s="10">
        <f>Fact_Table[[#This Row],[Capacity_BPD]]/Fact_Table[[#This Row],[Average_Salary_AED]]</f>
        <v>30.205015249068111</v>
      </c>
      <c r="R271" s="15">
        <f>(Fact_Table[[#This Row],[Petrol_Output_BPD]]/Fact_Table[[#This Row],[Capacity_BPD]])</f>
        <v>0.42015369944466258</v>
      </c>
      <c r="S271" s="15">
        <f>Fact_Table[[#This Row],[Diesel_Output_BPD]]/Fact_Table[[#This Row],[Capacity_BPD]]</f>
        <v>0.42372805295338534</v>
      </c>
      <c r="T271" s="15">
        <f>Fact_Table[[#This Row],[Gas_Output_BPD]]/Fact_Table[[#This Row],[Capacity_BPD]]</f>
        <v>0.15611376002692545</v>
      </c>
      <c r="U27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71" s="8">
        <f ca="1">YEAR(TODAY())-Fact_Table[[#This Row],[Commissioned_Year]]</f>
        <v>42</v>
      </c>
      <c r="W271" s="40" cm="1">
        <f t="array" ref="W271">_xlfn.XLOOKUP(Fact_Table[[#This Row],[Commissioned_Year]],cost_table[[#All],[Year]],cost_table[[#All],[Average_Crude_Price_USD_per_Barrel]],"0")</f>
        <v>29</v>
      </c>
      <c r="X271" s="40">
        <f>Fact_Table[[#This Row],[Capacity_BPD]]*Fact_Table[[#This Row],[cost per barrel]]</f>
        <v>12924575</v>
      </c>
    </row>
    <row r="272" spans="1:24" x14ac:dyDescent="0.35">
      <c r="A272" t="s">
        <v>36</v>
      </c>
      <c r="B272" t="s">
        <v>25</v>
      </c>
      <c r="C272" t="s">
        <v>33</v>
      </c>
      <c r="D272" s="5">
        <v>634356</v>
      </c>
      <c r="E272" s="5">
        <v>2009</v>
      </c>
      <c r="F272" s="5">
        <v>1202</v>
      </c>
      <c r="G272" s="3" t="s">
        <v>28</v>
      </c>
      <c r="H272" s="4">
        <v>4.03</v>
      </c>
      <c r="I272" s="4">
        <v>5.3</v>
      </c>
      <c r="J272" s="5">
        <v>218285</v>
      </c>
      <c r="K272" s="5">
        <v>298207</v>
      </c>
      <c r="L272" s="5">
        <v>117862</v>
      </c>
      <c r="M272" s="3" t="s">
        <v>29</v>
      </c>
      <c r="N272" s="10">
        <v>22158</v>
      </c>
      <c r="O272" s="12">
        <f>(Fact_Table[[#This Row],[Petrol_Output_BPD]]+Fact_Table[[#This Row],[Diesel_Output_BPD]]+Fact_Table[[#This Row],[Gas_Output_BPD]])/Fact_Table[[#This Row],[No_of_Employees]]</f>
        <v>527.7487520798669</v>
      </c>
      <c r="P272" s="2" t="str">
        <f>IF(Fact_Table[[#This Row],[0/P Producyivity/Day]]&gt;=1000,"High",IF(Fact_Table[[#This Row],[0/P Producyivity/Day]]&gt;=500,"Medium","Low"))</f>
        <v>Medium</v>
      </c>
      <c r="Q272" s="10">
        <f>Fact_Table[[#This Row],[Capacity_BPD]]/Fact_Table[[#This Row],[Average_Salary_AED]]</f>
        <v>28.628757108042244</v>
      </c>
      <c r="R272" s="15">
        <f>(Fact_Table[[#This Row],[Petrol_Output_BPD]]/Fact_Table[[#This Row],[Capacity_BPD]])</f>
        <v>0.34410488747643281</v>
      </c>
      <c r="S272" s="15">
        <f>Fact_Table[[#This Row],[Diesel_Output_BPD]]/Fact_Table[[#This Row],[Capacity_BPD]]</f>
        <v>0.47009407966504613</v>
      </c>
      <c r="T272" s="15">
        <f>Fact_Table[[#This Row],[Gas_Output_BPD]]/Fact_Table[[#This Row],[Capacity_BPD]]</f>
        <v>0.18579788005473266</v>
      </c>
      <c r="U27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72" s="8">
        <f ca="1">YEAR(TODAY())-Fact_Table[[#This Row],[Commissioned_Year]]</f>
        <v>16</v>
      </c>
      <c r="W272" s="40" cm="1">
        <f t="array" ref="W272">_xlfn.XLOOKUP(Fact_Table[[#This Row],[Commissioned_Year]],cost_table[[#All],[Year]],cost_table[[#All],[Average_Crude_Price_USD_per_Barrel]],"0")</f>
        <v>41.4</v>
      </c>
      <c r="X272" s="40">
        <f>Fact_Table[[#This Row],[Capacity_BPD]]*Fact_Table[[#This Row],[cost per barrel]]</f>
        <v>26262338.399999999</v>
      </c>
    </row>
    <row r="273" spans="1:24" x14ac:dyDescent="0.35">
      <c r="A273" t="s">
        <v>30</v>
      </c>
      <c r="B273" t="s">
        <v>19</v>
      </c>
      <c r="C273" t="s">
        <v>47</v>
      </c>
      <c r="D273" s="5">
        <v>391348</v>
      </c>
      <c r="E273" s="5">
        <v>2005</v>
      </c>
      <c r="F273" s="5">
        <v>2080</v>
      </c>
      <c r="G273" s="3" t="s">
        <v>21</v>
      </c>
      <c r="H273" s="4">
        <v>14.58</v>
      </c>
      <c r="I273" s="4">
        <v>7.43</v>
      </c>
      <c r="J273" s="5">
        <v>156114</v>
      </c>
      <c r="K273" s="5">
        <v>166181</v>
      </c>
      <c r="L273" s="5">
        <v>69052</v>
      </c>
      <c r="M273" s="3" t="s">
        <v>23</v>
      </c>
      <c r="N273" s="10">
        <v>21807</v>
      </c>
      <c r="O273" s="12">
        <f>(Fact_Table[[#This Row],[Petrol_Output_BPD]]+Fact_Table[[#This Row],[Diesel_Output_BPD]]+Fact_Table[[#This Row],[Gas_Output_BPD]])/Fact_Table[[#This Row],[No_of_Employees]]</f>
        <v>188.14759615384617</v>
      </c>
      <c r="P273" s="2" t="str">
        <f>IF(Fact_Table[[#This Row],[0/P Producyivity/Day]]&gt;=1000,"High",IF(Fact_Table[[#This Row],[0/P Producyivity/Day]]&gt;=500,"Medium","Low"))</f>
        <v>Low</v>
      </c>
      <c r="Q273" s="10">
        <f>Fact_Table[[#This Row],[Capacity_BPD]]/Fact_Table[[#This Row],[Average_Salary_AED]]</f>
        <v>17.945980648415645</v>
      </c>
      <c r="R273" s="15">
        <f>(Fact_Table[[#This Row],[Petrol_Output_BPD]]/Fact_Table[[#This Row],[Capacity_BPD]])</f>
        <v>0.39891349898300232</v>
      </c>
      <c r="S273" s="15">
        <f>Fact_Table[[#This Row],[Diesel_Output_BPD]]/Fact_Table[[#This Row],[Capacity_BPD]]</f>
        <v>0.4246374071159173</v>
      </c>
      <c r="T273" s="15">
        <f>Fact_Table[[#This Row],[Gas_Output_BPD]]/Fact_Table[[#This Row],[Capacity_BPD]]</f>
        <v>0.17644653863057944</v>
      </c>
      <c r="U273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73" s="8">
        <f ca="1">YEAR(TODAY())-Fact_Table[[#This Row],[Commissioned_Year]]</f>
        <v>20</v>
      </c>
      <c r="W273" s="40" cm="1">
        <f t="array" ref="W273">_xlfn.XLOOKUP(Fact_Table[[#This Row],[Commissioned_Year]],cost_table[[#All],[Year]],cost_table[[#All],[Average_Crude_Price_USD_per_Barrel]],"0")</f>
        <v>25</v>
      </c>
      <c r="X273" s="40">
        <f>Fact_Table[[#This Row],[Capacity_BPD]]*Fact_Table[[#This Row],[cost per barrel]]</f>
        <v>9783700</v>
      </c>
    </row>
    <row r="274" spans="1:24" x14ac:dyDescent="0.35">
      <c r="A274" t="s">
        <v>24</v>
      </c>
      <c r="B274" t="s">
        <v>14</v>
      </c>
      <c r="C274" t="s">
        <v>49</v>
      </c>
      <c r="D274" s="5">
        <v>569222</v>
      </c>
      <c r="E274" s="5">
        <v>2003</v>
      </c>
      <c r="F274" s="5">
        <v>1161</v>
      </c>
      <c r="G274" s="3" t="s">
        <v>28</v>
      </c>
      <c r="H274" s="4">
        <v>19.809999999999999</v>
      </c>
      <c r="I274" s="4">
        <v>8.34</v>
      </c>
      <c r="J274" s="5">
        <v>177587</v>
      </c>
      <c r="K274" s="5">
        <v>322188</v>
      </c>
      <c r="L274" s="5">
        <v>69446</v>
      </c>
      <c r="M274" s="3" t="s">
        <v>17</v>
      </c>
      <c r="N274" s="10">
        <v>24535</v>
      </c>
      <c r="O274" s="12">
        <f>(Fact_Table[[#This Row],[Petrol_Output_BPD]]+Fact_Table[[#This Row],[Diesel_Output_BPD]]+Fact_Table[[#This Row],[Gas_Output_BPD]])/Fact_Table[[#This Row],[No_of_Employees]]</f>
        <v>490.28509905254089</v>
      </c>
      <c r="P274" s="2" t="str">
        <f>IF(Fact_Table[[#This Row],[0/P Producyivity/Day]]&gt;=1000,"High",IF(Fact_Table[[#This Row],[0/P Producyivity/Day]]&gt;=500,"Medium","Low"))</f>
        <v>Low</v>
      </c>
      <c r="Q274" s="10">
        <f>Fact_Table[[#This Row],[Capacity_BPD]]/Fact_Table[[#This Row],[Average_Salary_AED]]</f>
        <v>23.200407581006726</v>
      </c>
      <c r="R274" s="15">
        <f>(Fact_Table[[#This Row],[Petrol_Output_BPD]]/Fact_Table[[#This Row],[Capacity_BPD]])</f>
        <v>0.31198196837086412</v>
      </c>
      <c r="S274" s="15">
        <f>Fact_Table[[#This Row],[Diesel_Output_BPD]]/Fact_Table[[#This Row],[Capacity_BPD]]</f>
        <v>0.5660146656313354</v>
      </c>
      <c r="T274" s="15">
        <f>Fact_Table[[#This Row],[Gas_Output_BPD]]/Fact_Table[[#This Row],[Capacity_BPD]]</f>
        <v>0.12200160921397979</v>
      </c>
      <c r="U274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74" s="8">
        <f ca="1">YEAR(TODAY())-Fact_Table[[#This Row],[Commissioned_Year]]</f>
        <v>22</v>
      </c>
      <c r="W274" s="40" cm="1">
        <f t="array" ref="W274">_xlfn.XLOOKUP(Fact_Table[[#This Row],[Commissioned_Year]],cost_table[[#All],[Year]],cost_table[[#All],[Average_Crude_Price_USD_per_Barrel]],"0")</f>
        <v>17.2</v>
      </c>
      <c r="X274" s="40">
        <f>Fact_Table[[#This Row],[Capacity_BPD]]*Fact_Table[[#This Row],[cost per barrel]]</f>
        <v>9790618.4000000004</v>
      </c>
    </row>
    <row r="275" spans="1:24" x14ac:dyDescent="0.35">
      <c r="A275" t="s">
        <v>37</v>
      </c>
      <c r="B275" t="s">
        <v>26</v>
      </c>
      <c r="C275" t="s">
        <v>50</v>
      </c>
      <c r="D275" s="5">
        <v>200678</v>
      </c>
      <c r="E275" s="5">
        <v>1996</v>
      </c>
      <c r="F275" s="5">
        <v>1158</v>
      </c>
      <c r="G275" s="3" t="s">
        <v>21</v>
      </c>
      <c r="H275" s="4">
        <v>7.74</v>
      </c>
      <c r="I275" s="4">
        <v>9</v>
      </c>
      <c r="J275" s="5">
        <v>79603</v>
      </c>
      <c r="K275" s="5">
        <v>89853</v>
      </c>
      <c r="L275" s="5">
        <v>31221</v>
      </c>
      <c r="M275" s="3" t="s">
        <v>34</v>
      </c>
      <c r="N275" s="10">
        <v>14330</v>
      </c>
      <c r="O275" s="12">
        <f>(Fact_Table[[#This Row],[Petrol_Output_BPD]]+Fact_Table[[#This Row],[Diesel_Output_BPD]]+Fact_Table[[#This Row],[Gas_Output_BPD]])/Fact_Table[[#This Row],[No_of_Employees]]</f>
        <v>173.29620034542313</v>
      </c>
      <c r="P275" s="2" t="str">
        <f>IF(Fact_Table[[#This Row],[0/P Producyivity/Day]]&gt;=1000,"High",IF(Fact_Table[[#This Row],[0/P Producyivity/Day]]&gt;=500,"Medium","Low"))</f>
        <v>Low</v>
      </c>
      <c r="Q275" s="10">
        <f>Fact_Table[[#This Row],[Capacity_BPD]]/Fact_Table[[#This Row],[Average_Salary_AED]]</f>
        <v>14.004047452896023</v>
      </c>
      <c r="R275" s="15">
        <f>(Fact_Table[[#This Row],[Petrol_Output_BPD]]/Fact_Table[[#This Row],[Capacity_BPD]])</f>
        <v>0.39667028772461355</v>
      </c>
      <c r="S275" s="15">
        <f>Fact_Table[[#This Row],[Diesel_Output_BPD]]/Fact_Table[[#This Row],[Capacity_BPD]]</f>
        <v>0.44774713720487547</v>
      </c>
      <c r="T275" s="15">
        <f>Fact_Table[[#This Row],[Gas_Output_BPD]]/Fact_Table[[#This Row],[Capacity_BPD]]</f>
        <v>0.15557759196324461</v>
      </c>
      <c r="U275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75" s="8">
        <f ca="1">YEAR(TODAY())-Fact_Table[[#This Row],[Commissioned_Year]]</f>
        <v>29</v>
      </c>
      <c r="W275" s="40" cm="1">
        <f t="array" ref="W275">_xlfn.XLOOKUP(Fact_Table[[#This Row],[Commissioned_Year]],cost_table[[#All],[Year]],cost_table[[#All],[Average_Crude_Price_USD_per_Barrel]],"0")</f>
        <v>18</v>
      </c>
      <c r="X275" s="40">
        <f>Fact_Table[[#This Row],[Capacity_BPD]]*Fact_Table[[#This Row],[cost per barrel]]</f>
        <v>3612204</v>
      </c>
    </row>
    <row r="276" spans="1:24" x14ac:dyDescent="0.35">
      <c r="A276" t="s">
        <v>30</v>
      </c>
      <c r="B276" t="s">
        <v>41</v>
      </c>
      <c r="C276" t="s">
        <v>47</v>
      </c>
      <c r="D276" s="5">
        <v>486096</v>
      </c>
      <c r="E276" s="5">
        <v>1994</v>
      </c>
      <c r="F276" s="5">
        <v>1610</v>
      </c>
      <c r="G276" s="3" t="s">
        <v>31</v>
      </c>
      <c r="H276" s="4">
        <v>8.0299999999999994</v>
      </c>
      <c r="I276" s="4">
        <v>6.39</v>
      </c>
      <c r="J276" s="5">
        <v>179018</v>
      </c>
      <c r="K276" s="5">
        <v>184431</v>
      </c>
      <c r="L276" s="5">
        <v>122645</v>
      </c>
      <c r="M276" s="3" t="s">
        <v>29</v>
      </c>
      <c r="N276" s="10">
        <v>9957</v>
      </c>
      <c r="O276" s="12">
        <f>(Fact_Table[[#This Row],[Petrol_Output_BPD]]+Fact_Table[[#This Row],[Diesel_Output_BPD]]+Fact_Table[[#This Row],[Gas_Output_BPD]])/Fact_Table[[#This Row],[No_of_Employees]]</f>
        <v>301.92173913043479</v>
      </c>
      <c r="P276" s="2" t="str">
        <f>IF(Fact_Table[[#This Row],[0/P Producyivity/Day]]&gt;=1000,"High",IF(Fact_Table[[#This Row],[0/P Producyivity/Day]]&gt;=500,"Medium","Low"))</f>
        <v>Low</v>
      </c>
      <c r="Q276" s="10">
        <f>Fact_Table[[#This Row],[Capacity_BPD]]/Fact_Table[[#This Row],[Average_Salary_AED]]</f>
        <v>48.819523952997891</v>
      </c>
      <c r="R276" s="15">
        <f>(Fact_Table[[#This Row],[Petrol_Output_BPD]]/Fact_Table[[#This Row],[Capacity_BPD]])</f>
        <v>0.36827704815509693</v>
      </c>
      <c r="S276" s="15">
        <f>Fact_Table[[#This Row],[Diesel_Output_BPD]]/Fact_Table[[#This Row],[Capacity_BPD]]</f>
        <v>0.3794127086007702</v>
      </c>
      <c r="T276" s="15">
        <f>Fact_Table[[#This Row],[Gas_Output_BPD]]/Fact_Table[[#This Row],[Capacity_BPD]]</f>
        <v>0.25230612883051906</v>
      </c>
      <c r="U27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76" s="8">
        <f ca="1">YEAR(TODAY())-Fact_Table[[#This Row],[Commissioned_Year]]</f>
        <v>31</v>
      </c>
      <c r="W276" s="40" cm="1">
        <f t="array" ref="W276">_xlfn.XLOOKUP(Fact_Table[[#This Row],[Commissioned_Year]],cost_table[[#All],[Year]],cost_table[[#All],[Average_Crude_Price_USD_per_Barrel]],"0")</f>
        <v>15.9</v>
      </c>
      <c r="X276" s="40">
        <f>Fact_Table[[#This Row],[Capacity_BPD]]*Fact_Table[[#This Row],[cost per barrel]]</f>
        <v>7728926.4000000004</v>
      </c>
    </row>
    <row r="277" spans="1:24" x14ac:dyDescent="0.35">
      <c r="A277" t="s">
        <v>18</v>
      </c>
      <c r="B277" t="s">
        <v>40</v>
      </c>
      <c r="C277" t="s">
        <v>49</v>
      </c>
      <c r="D277" s="5">
        <v>142221</v>
      </c>
      <c r="E277" s="5">
        <v>2019</v>
      </c>
      <c r="F277" s="5">
        <v>2014</v>
      </c>
      <c r="G277" s="3" t="s">
        <v>16</v>
      </c>
      <c r="H277" s="4">
        <v>17.32</v>
      </c>
      <c r="I277" s="4">
        <v>9.6199999999999992</v>
      </c>
      <c r="J277" s="5">
        <v>70416</v>
      </c>
      <c r="K277" s="5">
        <v>53321</v>
      </c>
      <c r="L277" s="5">
        <v>18482</v>
      </c>
      <c r="M277" s="3" t="s">
        <v>34</v>
      </c>
      <c r="N277" s="10">
        <v>9718</v>
      </c>
      <c r="O277" s="12">
        <f>(Fact_Table[[#This Row],[Petrol_Output_BPD]]+Fact_Table[[#This Row],[Diesel_Output_BPD]]+Fact_Table[[#This Row],[Gas_Output_BPD]])/Fact_Table[[#This Row],[No_of_Employees]]</f>
        <v>70.615193644488585</v>
      </c>
      <c r="P277" s="2" t="str">
        <f>IF(Fact_Table[[#This Row],[0/P Producyivity/Day]]&gt;=1000,"High",IF(Fact_Table[[#This Row],[0/P Producyivity/Day]]&gt;=500,"Medium","Low"))</f>
        <v>Low</v>
      </c>
      <c r="Q277" s="10">
        <f>Fact_Table[[#This Row],[Capacity_BPD]]/Fact_Table[[#This Row],[Average_Salary_AED]]</f>
        <v>14.63480139946491</v>
      </c>
      <c r="R277" s="15">
        <f>(Fact_Table[[#This Row],[Petrol_Output_BPD]]/Fact_Table[[#This Row],[Capacity_BPD]])</f>
        <v>0.49511675490961249</v>
      </c>
      <c r="S277" s="15">
        <f>Fact_Table[[#This Row],[Diesel_Output_BPD]]/Fact_Table[[#This Row],[Capacity_BPD]]</f>
        <v>0.37491650318869929</v>
      </c>
      <c r="T277" s="15">
        <f>Fact_Table[[#This Row],[Gas_Output_BPD]]/Fact_Table[[#This Row],[Capacity_BPD]]</f>
        <v>0.12995267928083756</v>
      </c>
      <c r="U277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77" s="8">
        <f ca="1">YEAR(TODAY())-Fact_Table[[#This Row],[Commissioned_Year]]</f>
        <v>6</v>
      </c>
      <c r="W277" s="40" cm="1">
        <f t="array" ref="W277">_xlfn.XLOOKUP(Fact_Table[[#This Row],[Commissioned_Year]],cost_table[[#All],[Year]],cost_table[[#All],[Average_Crude_Price_USD_per_Barrel]],"0")</f>
        <v>52.3</v>
      </c>
      <c r="X277" s="40">
        <f>Fact_Table[[#This Row],[Capacity_BPD]]*Fact_Table[[#This Row],[cost per barrel]]</f>
        <v>7438158.2999999998</v>
      </c>
    </row>
    <row r="278" spans="1:24" x14ac:dyDescent="0.35">
      <c r="A278" t="s">
        <v>36</v>
      </c>
      <c r="B278" t="s">
        <v>19</v>
      </c>
      <c r="C278" t="s">
        <v>15</v>
      </c>
      <c r="D278" s="5">
        <v>89574</v>
      </c>
      <c r="E278" s="5">
        <v>2010</v>
      </c>
      <c r="F278" s="5">
        <v>1828</v>
      </c>
      <c r="G278" s="3" t="s">
        <v>31</v>
      </c>
      <c r="H278" s="4">
        <v>2.08</v>
      </c>
      <c r="I278" s="4">
        <v>8.16</v>
      </c>
      <c r="J278" s="5">
        <v>29955</v>
      </c>
      <c r="K278" s="5">
        <v>35062</v>
      </c>
      <c r="L278" s="5">
        <v>24555</v>
      </c>
      <c r="M278" s="3" t="s">
        <v>17</v>
      </c>
      <c r="N278" s="10">
        <v>15496</v>
      </c>
      <c r="O278" s="12">
        <f>(Fact_Table[[#This Row],[Petrol_Output_BPD]]+Fact_Table[[#This Row],[Diesel_Output_BPD]]+Fact_Table[[#This Row],[Gas_Output_BPD]])/Fact_Table[[#This Row],[No_of_Employees]]</f>
        <v>49</v>
      </c>
      <c r="P278" s="2" t="str">
        <f>IF(Fact_Table[[#This Row],[0/P Producyivity/Day]]&gt;=1000,"High",IF(Fact_Table[[#This Row],[0/P Producyivity/Day]]&gt;=500,"Medium","Low"))</f>
        <v>Low</v>
      </c>
      <c r="Q278" s="10">
        <f>Fact_Table[[#This Row],[Capacity_BPD]]/Fact_Table[[#This Row],[Average_Salary_AED]]</f>
        <v>5.7804594734124937</v>
      </c>
      <c r="R278" s="15">
        <f>(Fact_Table[[#This Row],[Petrol_Output_BPD]]/Fact_Table[[#This Row],[Capacity_BPD]])</f>
        <v>0.33441623685444438</v>
      </c>
      <c r="S278" s="15">
        <f>Fact_Table[[#This Row],[Diesel_Output_BPD]]/Fact_Table[[#This Row],[Capacity_BPD]]</f>
        <v>0.39143054904324914</v>
      </c>
      <c r="T278" s="15">
        <f>Fact_Table[[#This Row],[Gas_Output_BPD]]/Fact_Table[[#This Row],[Capacity_BPD]]</f>
        <v>0.2741308861946547</v>
      </c>
      <c r="U278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78" s="8">
        <f ca="1">YEAR(TODAY())-Fact_Table[[#This Row],[Commissioned_Year]]</f>
        <v>15</v>
      </c>
      <c r="W278" s="40" cm="1">
        <f t="array" ref="W278">_xlfn.XLOOKUP(Fact_Table[[#This Row],[Commissioned_Year]],cost_table[[#All],[Year]],cost_table[[#All],[Average_Crude_Price_USD_per_Barrel]],"0")</f>
        <v>56.6</v>
      </c>
      <c r="X278" s="40">
        <f>Fact_Table[[#This Row],[Capacity_BPD]]*Fact_Table[[#This Row],[cost per barrel]]</f>
        <v>5069888.4000000004</v>
      </c>
    </row>
    <row r="279" spans="1:24" x14ac:dyDescent="0.35">
      <c r="A279" t="s">
        <v>45</v>
      </c>
      <c r="B279" t="s">
        <v>25</v>
      </c>
      <c r="C279" t="s">
        <v>50</v>
      </c>
      <c r="D279" s="5">
        <v>475114</v>
      </c>
      <c r="E279" s="5">
        <v>2004</v>
      </c>
      <c r="F279" s="5">
        <v>2106</v>
      </c>
      <c r="G279" s="3" t="s">
        <v>16</v>
      </c>
      <c r="H279" s="4">
        <v>10.119999999999999</v>
      </c>
      <c r="I279" s="4">
        <v>7.58</v>
      </c>
      <c r="J279" s="5">
        <v>153573</v>
      </c>
      <c r="K279" s="5">
        <v>238981</v>
      </c>
      <c r="L279" s="5">
        <v>82559</v>
      </c>
      <c r="M279" s="3" t="s">
        <v>34</v>
      </c>
      <c r="N279" s="10">
        <v>12735</v>
      </c>
      <c r="O279" s="12">
        <f>(Fact_Table[[#This Row],[Petrol_Output_BPD]]+Fact_Table[[#This Row],[Diesel_Output_BPD]]+Fact_Table[[#This Row],[Gas_Output_BPD]])/Fact_Table[[#This Row],[No_of_Employees]]</f>
        <v>225.5997150997151</v>
      </c>
      <c r="P279" s="2" t="str">
        <f>IF(Fact_Table[[#This Row],[0/P Producyivity/Day]]&gt;=1000,"High",IF(Fact_Table[[#This Row],[0/P Producyivity/Day]]&gt;=500,"Medium","Low"))</f>
        <v>Low</v>
      </c>
      <c r="Q279" s="10">
        <f>Fact_Table[[#This Row],[Capacity_BPD]]/Fact_Table[[#This Row],[Average_Salary_AED]]</f>
        <v>37.307734589713391</v>
      </c>
      <c r="R279" s="15">
        <f>(Fact_Table[[#This Row],[Petrol_Output_BPD]]/Fact_Table[[#This Row],[Capacity_BPD]])</f>
        <v>0.32323400278669961</v>
      </c>
      <c r="S279" s="15">
        <f>Fact_Table[[#This Row],[Diesel_Output_BPD]]/Fact_Table[[#This Row],[Capacity_BPD]]</f>
        <v>0.50299717541474254</v>
      </c>
      <c r="T279" s="15">
        <f>Fact_Table[[#This Row],[Gas_Output_BPD]]/Fact_Table[[#This Row],[Capacity_BPD]]</f>
        <v>0.17376671704054186</v>
      </c>
      <c r="U279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79" s="8">
        <f ca="1">YEAR(TODAY())-Fact_Table[[#This Row],[Commissioned_Year]]</f>
        <v>21</v>
      </c>
      <c r="W279" s="40" cm="1">
        <f t="array" ref="W279">_xlfn.XLOOKUP(Fact_Table[[#This Row],[Commissioned_Year]],cost_table[[#All],[Year]],cost_table[[#All],[Average_Crude_Price_USD_per_Barrel]],"0")</f>
        <v>18.600000000000001</v>
      </c>
      <c r="X279" s="40">
        <f>Fact_Table[[#This Row],[Capacity_BPD]]*Fact_Table[[#This Row],[cost per barrel]]</f>
        <v>8837120.4000000004</v>
      </c>
    </row>
    <row r="280" spans="1:24" x14ac:dyDescent="0.35">
      <c r="A280" t="s">
        <v>45</v>
      </c>
      <c r="B280" t="s">
        <v>26</v>
      </c>
      <c r="C280" t="s">
        <v>49</v>
      </c>
      <c r="D280" s="5">
        <v>145751</v>
      </c>
      <c r="E280" s="5">
        <v>2005</v>
      </c>
      <c r="F280" s="5">
        <v>609</v>
      </c>
      <c r="G280" s="3" t="s">
        <v>16</v>
      </c>
      <c r="H280" s="4">
        <v>24.3</v>
      </c>
      <c r="I280" s="4">
        <v>5.19</v>
      </c>
      <c r="J280" s="5">
        <v>43908</v>
      </c>
      <c r="K280" s="5">
        <v>78149</v>
      </c>
      <c r="L280" s="5">
        <v>23693</v>
      </c>
      <c r="M280" s="3" t="s">
        <v>29</v>
      </c>
      <c r="N280" s="10">
        <v>12573</v>
      </c>
      <c r="O280" s="12">
        <f>(Fact_Table[[#This Row],[Petrol_Output_BPD]]+Fact_Table[[#This Row],[Diesel_Output_BPD]]+Fact_Table[[#This Row],[Gas_Output_BPD]])/Fact_Table[[#This Row],[No_of_Employees]]</f>
        <v>239.32676518883414</v>
      </c>
      <c r="P280" s="2" t="str">
        <f>IF(Fact_Table[[#This Row],[0/P Producyivity/Day]]&gt;=1000,"High",IF(Fact_Table[[#This Row],[0/P Producyivity/Day]]&gt;=500,"Medium","Low"))</f>
        <v>Low</v>
      </c>
      <c r="Q280" s="10">
        <f>Fact_Table[[#This Row],[Capacity_BPD]]/Fact_Table[[#This Row],[Average_Salary_AED]]</f>
        <v>11.592380497892309</v>
      </c>
      <c r="R280" s="15">
        <f>(Fact_Table[[#This Row],[Petrol_Output_BPD]]/Fact_Table[[#This Row],[Capacity_BPD]])</f>
        <v>0.30125350769462989</v>
      </c>
      <c r="S280" s="15">
        <f>Fact_Table[[#This Row],[Diesel_Output_BPD]]/Fact_Table[[#This Row],[Capacity_BPD]]</f>
        <v>0.53618156993777055</v>
      </c>
      <c r="T280" s="15">
        <f>Fact_Table[[#This Row],[Gas_Output_BPD]]/Fact_Table[[#This Row],[Capacity_BPD]]</f>
        <v>0.16255806135120857</v>
      </c>
      <c r="U280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80" s="8">
        <f ca="1">YEAR(TODAY())-Fact_Table[[#This Row],[Commissioned_Year]]</f>
        <v>20</v>
      </c>
      <c r="W280" s="40" cm="1">
        <f t="array" ref="W280">_xlfn.XLOOKUP(Fact_Table[[#This Row],[Commissioned_Year]],cost_table[[#All],[Year]],cost_table[[#All],[Average_Crude_Price_USD_per_Barrel]],"0")</f>
        <v>25</v>
      </c>
      <c r="X280" s="40">
        <f>Fact_Table[[#This Row],[Capacity_BPD]]*Fact_Table[[#This Row],[cost per barrel]]</f>
        <v>3643775</v>
      </c>
    </row>
    <row r="281" spans="1:24" x14ac:dyDescent="0.35">
      <c r="A281" t="s">
        <v>37</v>
      </c>
      <c r="B281" t="s">
        <v>40</v>
      </c>
      <c r="C281" t="s">
        <v>20</v>
      </c>
      <c r="D281" s="5">
        <v>183054</v>
      </c>
      <c r="E281" s="5">
        <v>1996</v>
      </c>
      <c r="F281" s="5">
        <v>1689</v>
      </c>
      <c r="G281" s="3" t="s">
        <v>16</v>
      </c>
      <c r="H281" s="4">
        <v>20.47</v>
      </c>
      <c r="I281" s="4">
        <v>6.21</v>
      </c>
      <c r="J281" s="5">
        <v>60098</v>
      </c>
      <c r="K281" s="5">
        <v>82008</v>
      </c>
      <c r="L281" s="5">
        <v>40947</v>
      </c>
      <c r="M281" s="3" t="s">
        <v>29</v>
      </c>
      <c r="N281" s="10">
        <v>14385</v>
      </c>
      <c r="O281" s="12">
        <f>(Fact_Table[[#This Row],[Petrol_Output_BPD]]+Fact_Table[[#This Row],[Diesel_Output_BPD]]+Fact_Table[[#This Row],[Gas_Output_BPD]])/Fact_Table[[#This Row],[No_of_Employees]]</f>
        <v>108.37951450562463</v>
      </c>
      <c r="P281" s="2" t="str">
        <f>IF(Fact_Table[[#This Row],[0/P Producyivity/Day]]&gt;=1000,"High",IF(Fact_Table[[#This Row],[0/P Producyivity/Day]]&gt;=500,"Medium","Low"))</f>
        <v>Low</v>
      </c>
      <c r="Q281" s="10">
        <f>Fact_Table[[#This Row],[Capacity_BPD]]/Fact_Table[[#This Row],[Average_Salary_AED]]</f>
        <v>12.725338894681961</v>
      </c>
      <c r="R281" s="15">
        <f>(Fact_Table[[#This Row],[Petrol_Output_BPD]]/Fact_Table[[#This Row],[Capacity_BPD]])</f>
        <v>0.32830749396352987</v>
      </c>
      <c r="S281" s="15">
        <f>Fact_Table[[#This Row],[Diesel_Output_BPD]]/Fact_Table[[#This Row],[Capacity_BPD]]</f>
        <v>0.44799895112917498</v>
      </c>
      <c r="T281" s="15">
        <f>Fact_Table[[#This Row],[Gas_Output_BPD]]/Fact_Table[[#This Row],[Capacity_BPD]]</f>
        <v>0.22368809203841489</v>
      </c>
      <c r="U28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81" s="8">
        <f ca="1">YEAR(TODAY())-Fact_Table[[#This Row],[Commissioned_Year]]</f>
        <v>29</v>
      </c>
      <c r="W281" s="40" cm="1">
        <f t="array" ref="W281">_xlfn.XLOOKUP(Fact_Table[[#This Row],[Commissioned_Year]],cost_table[[#All],[Year]],cost_table[[#All],[Average_Crude_Price_USD_per_Barrel]],"0")</f>
        <v>18</v>
      </c>
      <c r="X281" s="40">
        <f>Fact_Table[[#This Row],[Capacity_BPD]]*Fact_Table[[#This Row],[cost per barrel]]</f>
        <v>3294972</v>
      </c>
    </row>
    <row r="282" spans="1:24" x14ac:dyDescent="0.35">
      <c r="A282" t="s">
        <v>60</v>
      </c>
      <c r="B282" t="s">
        <v>19</v>
      </c>
      <c r="C282" t="s">
        <v>46</v>
      </c>
      <c r="D282" s="5">
        <v>106736</v>
      </c>
      <c r="E282" s="5">
        <v>2015</v>
      </c>
      <c r="F282" s="5">
        <v>1756</v>
      </c>
      <c r="G282" s="3" t="s">
        <v>28</v>
      </c>
      <c r="H282" s="4">
        <v>8.91</v>
      </c>
      <c r="I282" s="4">
        <v>5.61</v>
      </c>
      <c r="J282" s="5">
        <v>37379</v>
      </c>
      <c r="K282" s="5">
        <v>52689</v>
      </c>
      <c r="L282" s="5">
        <v>16667</v>
      </c>
      <c r="M282" s="3" t="s">
        <v>29</v>
      </c>
      <c r="N282" s="10">
        <v>19792</v>
      </c>
      <c r="O282" s="12">
        <f>(Fact_Table[[#This Row],[Petrol_Output_BPD]]+Fact_Table[[#This Row],[Diesel_Output_BPD]]+Fact_Table[[#This Row],[Gas_Output_BPD]])/Fact_Table[[#This Row],[No_of_Employees]]</f>
        <v>60.783029612756266</v>
      </c>
      <c r="P282" s="2" t="str">
        <f>IF(Fact_Table[[#This Row],[0/P Producyivity/Day]]&gt;=1000,"High",IF(Fact_Table[[#This Row],[0/P Producyivity/Day]]&gt;=500,"Medium","Low"))</f>
        <v>Low</v>
      </c>
      <c r="Q282" s="10">
        <f>Fact_Table[[#This Row],[Capacity_BPD]]/Fact_Table[[#This Row],[Average_Salary_AED]]</f>
        <v>5.3928860145513342</v>
      </c>
      <c r="R282" s="15">
        <f>(Fact_Table[[#This Row],[Petrol_Output_BPD]]/Fact_Table[[#This Row],[Capacity_BPD]])</f>
        <v>0.35020049467845898</v>
      </c>
      <c r="S282" s="15">
        <f>Fact_Table[[#This Row],[Diesel_Output_BPD]]/Fact_Table[[#This Row],[Capacity_BPD]]</f>
        <v>0.49363850996852049</v>
      </c>
      <c r="T282" s="15">
        <f>Fact_Table[[#This Row],[Gas_Output_BPD]]/Fact_Table[[#This Row],[Capacity_BPD]]</f>
        <v>0.15615162644281216</v>
      </c>
      <c r="U28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82" s="8">
        <f ca="1">YEAR(TODAY())-Fact_Table[[#This Row],[Commissioned_Year]]</f>
        <v>10</v>
      </c>
      <c r="W282" s="40" cm="1">
        <f t="array" ref="W282">_xlfn.XLOOKUP(Fact_Table[[#This Row],[Commissioned_Year]],cost_table[[#All],[Year]],cost_table[[#All],[Average_Crude_Price_USD_per_Barrel]],"0")</f>
        <v>43.7</v>
      </c>
      <c r="X282" s="40">
        <f>Fact_Table[[#This Row],[Capacity_BPD]]*Fact_Table[[#This Row],[cost per barrel]]</f>
        <v>4664363.2</v>
      </c>
    </row>
    <row r="283" spans="1:24" x14ac:dyDescent="0.35">
      <c r="A283" t="s">
        <v>36</v>
      </c>
      <c r="B283" t="s">
        <v>19</v>
      </c>
      <c r="C283" t="s">
        <v>39</v>
      </c>
      <c r="D283" s="5">
        <v>502000</v>
      </c>
      <c r="E283" s="5">
        <v>1983</v>
      </c>
      <c r="F283" s="5">
        <v>915</v>
      </c>
      <c r="G283" s="3" t="s">
        <v>16</v>
      </c>
      <c r="H283" s="4">
        <v>34.56</v>
      </c>
      <c r="I283" s="4">
        <v>6.34</v>
      </c>
      <c r="J283" s="5">
        <v>184195</v>
      </c>
      <c r="K283" s="5">
        <v>220551</v>
      </c>
      <c r="L283" s="5">
        <v>97252</v>
      </c>
      <c r="M283" s="3" t="s">
        <v>17</v>
      </c>
      <c r="N283" s="10">
        <v>10915</v>
      </c>
      <c r="O283" s="12">
        <f>(Fact_Table[[#This Row],[Petrol_Output_BPD]]+Fact_Table[[#This Row],[Diesel_Output_BPD]]+Fact_Table[[#This Row],[Gas_Output_BPD]])/Fact_Table[[#This Row],[No_of_Employees]]</f>
        <v>548.63169398907098</v>
      </c>
      <c r="P283" s="2" t="str">
        <f>IF(Fact_Table[[#This Row],[0/P Producyivity/Day]]&gt;=1000,"High",IF(Fact_Table[[#This Row],[0/P Producyivity/Day]]&gt;=500,"Medium","Low"))</f>
        <v>Medium</v>
      </c>
      <c r="Q283" s="10">
        <f>Fact_Table[[#This Row],[Capacity_BPD]]/Fact_Table[[#This Row],[Average_Salary_AED]]</f>
        <v>45.99175446633074</v>
      </c>
      <c r="R283" s="15">
        <f>(Fact_Table[[#This Row],[Petrol_Output_BPD]]/Fact_Table[[#This Row],[Capacity_BPD]])</f>
        <v>0.36692231075697213</v>
      </c>
      <c r="S283" s="15">
        <f>Fact_Table[[#This Row],[Diesel_Output_BPD]]/Fact_Table[[#This Row],[Capacity_BPD]]</f>
        <v>0.43934462151394421</v>
      </c>
      <c r="T283" s="15">
        <f>Fact_Table[[#This Row],[Gas_Output_BPD]]/Fact_Table[[#This Row],[Capacity_BPD]]</f>
        <v>0.19372908366533864</v>
      </c>
      <c r="U283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83" s="8">
        <f ca="1">YEAR(TODAY())-Fact_Table[[#This Row],[Commissioned_Year]]</f>
        <v>42</v>
      </c>
      <c r="W283" s="40" cm="1">
        <f t="array" ref="W283">_xlfn.XLOOKUP(Fact_Table[[#This Row],[Commissioned_Year]],cost_table[[#All],[Year]],cost_table[[#All],[Average_Crude_Price_USD_per_Barrel]],"0")</f>
        <v>29</v>
      </c>
      <c r="X283" s="40">
        <f>Fact_Table[[#This Row],[Capacity_BPD]]*Fact_Table[[#This Row],[cost per barrel]]</f>
        <v>14558000</v>
      </c>
    </row>
    <row r="284" spans="1:24" x14ac:dyDescent="0.35">
      <c r="A284" t="s">
        <v>18</v>
      </c>
      <c r="B284" t="s">
        <v>41</v>
      </c>
      <c r="C284" t="s">
        <v>33</v>
      </c>
      <c r="D284" s="5">
        <v>804142</v>
      </c>
      <c r="E284" s="5">
        <v>2022</v>
      </c>
      <c r="F284" s="5">
        <v>1114</v>
      </c>
      <c r="G284" s="3" t="s">
        <v>16</v>
      </c>
      <c r="H284" s="4">
        <v>29.19</v>
      </c>
      <c r="I284" s="4">
        <v>7.21</v>
      </c>
      <c r="J284" s="5">
        <v>256377</v>
      </c>
      <c r="K284" s="5">
        <v>412686</v>
      </c>
      <c r="L284" s="5">
        <v>135077</v>
      </c>
      <c r="M284" s="3" t="s">
        <v>38</v>
      </c>
      <c r="N284" s="10">
        <v>22121</v>
      </c>
      <c r="O284" s="12">
        <f>(Fact_Table[[#This Row],[Petrol_Output_BPD]]+Fact_Table[[#This Row],[Diesel_Output_BPD]]+Fact_Table[[#This Row],[Gas_Output_BPD]])/Fact_Table[[#This Row],[No_of_Employees]]</f>
        <v>721.84919210053863</v>
      </c>
      <c r="P284" s="2" t="str">
        <f>IF(Fact_Table[[#This Row],[0/P Producyivity/Day]]&gt;=1000,"High",IF(Fact_Table[[#This Row],[0/P Producyivity/Day]]&gt;=500,"Medium","Low"))</f>
        <v>Medium</v>
      </c>
      <c r="Q284" s="10">
        <f>Fact_Table[[#This Row],[Capacity_BPD]]/Fact_Table[[#This Row],[Average_Salary_AED]]</f>
        <v>36.351973238099546</v>
      </c>
      <c r="R284" s="15">
        <f>(Fact_Table[[#This Row],[Petrol_Output_BPD]]/Fact_Table[[#This Row],[Capacity_BPD]])</f>
        <v>0.31882055656836727</v>
      </c>
      <c r="S284" s="15">
        <f>Fact_Table[[#This Row],[Diesel_Output_BPD]]/Fact_Table[[#This Row],[Capacity_BPD]]</f>
        <v>0.51320040490361152</v>
      </c>
      <c r="T284" s="15">
        <f>Fact_Table[[#This Row],[Gas_Output_BPD]]/Fact_Table[[#This Row],[Capacity_BPD]]</f>
        <v>0.16797655140510009</v>
      </c>
      <c r="U284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84" s="8">
        <f ca="1">YEAR(TODAY())-Fact_Table[[#This Row],[Commissioned_Year]]</f>
        <v>3</v>
      </c>
      <c r="W284" s="40" cm="1">
        <f t="array" ref="W284">_xlfn.XLOOKUP(Fact_Table[[#This Row],[Commissioned_Year]],cost_table[[#All],[Year]],cost_table[[#All],[Average_Crude_Price_USD_per_Barrel]],"0")</f>
        <v>71.3</v>
      </c>
      <c r="X284" s="40">
        <f>Fact_Table[[#This Row],[Capacity_BPD]]*Fact_Table[[#This Row],[cost per barrel]]</f>
        <v>57335324.599999994</v>
      </c>
    </row>
    <row r="285" spans="1:24" x14ac:dyDescent="0.35">
      <c r="A285" t="s">
        <v>24</v>
      </c>
      <c r="B285" t="s">
        <v>40</v>
      </c>
      <c r="C285" t="s">
        <v>50</v>
      </c>
      <c r="D285" s="5">
        <v>149040</v>
      </c>
      <c r="E285" s="5">
        <v>2020</v>
      </c>
      <c r="F285" s="5">
        <v>1076</v>
      </c>
      <c r="G285" s="3" t="s">
        <v>16</v>
      </c>
      <c r="H285" s="4">
        <v>5.08</v>
      </c>
      <c r="I285" s="4">
        <v>5.69</v>
      </c>
      <c r="J285" s="5">
        <v>53821</v>
      </c>
      <c r="K285" s="5">
        <v>64868</v>
      </c>
      <c r="L285" s="5">
        <v>30350</v>
      </c>
      <c r="M285" s="3" t="s">
        <v>23</v>
      </c>
      <c r="N285" s="10">
        <v>14614</v>
      </c>
      <c r="O285" s="12">
        <f>(Fact_Table[[#This Row],[Petrol_Output_BPD]]+Fact_Table[[#This Row],[Diesel_Output_BPD]]+Fact_Table[[#This Row],[Gas_Output_BPD]])/Fact_Table[[#This Row],[No_of_Employees]]</f>
        <v>138.51208178438662</v>
      </c>
      <c r="P285" s="2" t="str">
        <f>IF(Fact_Table[[#This Row],[0/P Producyivity/Day]]&gt;=1000,"High",IF(Fact_Table[[#This Row],[0/P Producyivity/Day]]&gt;=500,"Medium","Low"))</f>
        <v>Low</v>
      </c>
      <c r="Q285" s="10">
        <f>Fact_Table[[#This Row],[Capacity_BPD]]/Fact_Table[[#This Row],[Average_Salary_AED]]</f>
        <v>10.198439852196524</v>
      </c>
      <c r="R285" s="15">
        <f>(Fact_Table[[#This Row],[Petrol_Output_BPD]]/Fact_Table[[#This Row],[Capacity_BPD]])</f>
        <v>0.36111782071927001</v>
      </c>
      <c r="S285" s="15">
        <f>Fact_Table[[#This Row],[Diesel_Output_BPD]]/Fact_Table[[#This Row],[Capacity_BPD]]</f>
        <v>0.43523886205045625</v>
      </c>
      <c r="T285" s="15">
        <f>Fact_Table[[#This Row],[Gas_Output_BPD]]/Fact_Table[[#This Row],[Capacity_BPD]]</f>
        <v>0.20363660762211486</v>
      </c>
      <c r="U285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85" s="8">
        <f ca="1">YEAR(TODAY())-Fact_Table[[#This Row],[Commissioned_Year]]</f>
        <v>5</v>
      </c>
      <c r="W285" s="40" cm="1">
        <f t="array" ref="W285">_xlfn.XLOOKUP(Fact_Table[[#This Row],[Commissioned_Year]],cost_table[[#All],[Year]],cost_table[[#All],[Average_Crude_Price_USD_per_Barrel]],"0")</f>
        <v>43.7</v>
      </c>
      <c r="X285" s="40">
        <f>Fact_Table[[#This Row],[Capacity_BPD]]*Fact_Table[[#This Row],[cost per barrel]]</f>
        <v>6513048</v>
      </c>
    </row>
    <row r="286" spans="1:24" x14ac:dyDescent="0.35">
      <c r="A286" t="s">
        <v>30</v>
      </c>
      <c r="B286" t="s">
        <v>26</v>
      </c>
      <c r="C286" t="s">
        <v>50</v>
      </c>
      <c r="D286" s="5">
        <v>839753</v>
      </c>
      <c r="E286" s="5">
        <v>1995</v>
      </c>
      <c r="F286" s="5">
        <v>1643</v>
      </c>
      <c r="G286" s="3" t="s">
        <v>16</v>
      </c>
      <c r="H286" s="4">
        <v>10.94</v>
      </c>
      <c r="I286" s="4">
        <v>9.8800000000000008</v>
      </c>
      <c r="J286" s="5">
        <v>299305</v>
      </c>
      <c r="K286" s="5">
        <v>354784</v>
      </c>
      <c r="L286" s="5">
        <v>185663</v>
      </c>
      <c r="M286" s="3" t="s">
        <v>23</v>
      </c>
      <c r="N286" s="10">
        <v>18464</v>
      </c>
      <c r="O286" s="12">
        <f>(Fact_Table[[#This Row],[Petrol_Output_BPD]]+Fact_Table[[#This Row],[Diesel_Output_BPD]]+Fact_Table[[#This Row],[Gas_Output_BPD]])/Fact_Table[[#This Row],[No_of_Employees]]</f>
        <v>511.10894704808277</v>
      </c>
      <c r="P286" s="2" t="str">
        <f>IF(Fact_Table[[#This Row],[0/P Producyivity/Day]]&gt;=1000,"High",IF(Fact_Table[[#This Row],[0/P Producyivity/Day]]&gt;=500,"Medium","Low"))</f>
        <v>Medium</v>
      </c>
      <c r="Q286" s="10">
        <f>Fact_Table[[#This Row],[Capacity_BPD]]/Fact_Table[[#This Row],[Average_Salary_AED]]</f>
        <v>45.480556759098789</v>
      </c>
      <c r="R286" s="15">
        <f>(Fact_Table[[#This Row],[Petrol_Output_BPD]]/Fact_Table[[#This Row],[Capacity_BPD]])</f>
        <v>0.35642028072540377</v>
      </c>
      <c r="S286" s="15">
        <f>Fact_Table[[#This Row],[Diesel_Output_BPD]]/Fact_Table[[#This Row],[Capacity_BPD]]</f>
        <v>0.42248613580421862</v>
      </c>
      <c r="T286" s="15">
        <f>Fact_Table[[#This Row],[Gas_Output_BPD]]/Fact_Table[[#This Row],[Capacity_BPD]]</f>
        <v>0.22109239264402747</v>
      </c>
      <c r="U286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86" s="8">
        <f ca="1">YEAR(TODAY())-Fact_Table[[#This Row],[Commissioned_Year]]</f>
        <v>30</v>
      </c>
      <c r="W286" s="40" cm="1">
        <f t="array" ref="W286">_xlfn.XLOOKUP(Fact_Table[[#This Row],[Commissioned_Year]],cost_table[[#All],[Year]],cost_table[[#All],[Average_Crude_Price_USD_per_Barrel]],"0")</f>
        <v>20.100000000000001</v>
      </c>
      <c r="X286" s="40">
        <f>Fact_Table[[#This Row],[Capacity_BPD]]*Fact_Table[[#This Row],[cost per barrel]]</f>
        <v>16879035.300000001</v>
      </c>
    </row>
    <row r="287" spans="1:24" x14ac:dyDescent="0.35">
      <c r="A287" t="s">
        <v>60</v>
      </c>
      <c r="B287" t="s">
        <v>40</v>
      </c>
      <c r="C287" t="s">
        <v>48</v>
      </c>
      <c r="D287" s="5">
        <v>662208</v>
      </c>
      <c r="E287" s="5">
        <v>1999</v>
      </c>
      <c r="F287" s="5">
        <v>2130</v>
      </c>
      <c r="G287" s="3" t="s">
        <v>21</v>
      </c>
      <c r="H287" s="4">
        <v>34.01</v>
      </c>
      <c r="I287" s="4">
        <v>9.51</v>
      </c>
      <c r="J287" s="5">
        <v>282413</v>
      </c>
      <c r="K287" s="5">
        <v>283358</v>
      </c>
      <c r="L287" s="5">
        <v>96436</v>
      </c>
      <c r="M287" s="3" t="s">
        <v>38</v>
      </c>
      <c r="N287" s="10">
        <v>21563</v>
      </c>
      <c r="O287" s="12">
        <f>(Fact_Table[[#This Row],[Petrol_Output_BPD]]+Fact_Table[[#This Row],[Diesel_Output_BPD]]+Fact_Table[[#This Row],[Gas_Output_BPD]])/Fact_Table[[#This Row],[No_of_Employees]]</f>
        <v>310.89530516431927</v>
      </c>
      <c r="P287" s="2" t="str">
        <f>IF(Fact_Table[[#This Row],[0/P Producyivity/Day]]&gt;=1000,"High",IF(Fact_Table[[#This Row],[0/P Producyivity/Day]]&gt;=500,"Medium","Low"))</f>
        <v>Low</v>
      </c>
      <c r="Q287" s="10">
        <f>Fact_Table[[#This Row],[Capacity_BPD]]/Fact_Table[[#This Row],[Average_Salary_AED]]</f>
        <v>30.710383527338497</v>
      </c>
      <c r="R287" s="15">
        <f>(Fact_Table[[#This Row],[Petrol_Output_BPD]]/Fact_Table[[#This Row],[Capacity_BPD]])</f>
        <v>0.42647174301729968</v>
      </c>
      <c r="S287" s="15">
        <f>Fact_Table[[#This Row],[Diesel_Output_BPD]]/Fact_Table[[#This Row],[Capacity_BPD]]</f>
        <v>0.42789878708804485</v>
      </c>
      <c r="T287" s="15">
        <f>Fact_Table[[#This Row],[Gas_Output_BPD]]/Fact_Table[[#This Row],[Capacity_BPD]]</f>
        <v>0.1456279597951097</v>
      </c>
      <c r="U287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87" s="8">
        <f ca="1">YEAR(TODAY())-Fact_Table[[#This Row],[Commissioned_Year]]</f>
        <v>26</v>
      </c>
      <c r="W287" s="40" cm="1">
        <f t="array" ref="W287">_xlfn.XLOOKUP(Fact_Table[[#This Row],[Commissioned_Year]],cost_table[[#All],[Year]],cost_table[[#All],[Average_Crude_Price_USD_per_Barrel]],"0")</f>
        <v>17</v>
      </c>
      <c r="X287" s="40">
        <f>Fact_Table[[#This Row],[Capacity_BPD]]*Fact_Table[[#This Row],[cost per barrel]]</f>
        <v>11257536</v>
      </c>
    </row>
    <row r="288" spans="1:24" x14ac:dyDescent="0.35">
      <c r="A288" t="s">
        <v>60</v>
      </c>
      <c r="B288" t="s">
        <v>26</v>
      </c>
      <c r="C288" t="s">
        <v>50</v>
      </c>
      <c r="D288" s="5">
        <v>784287</v>
      </c>
      <c r="E288" s="5">
        <v>1999</v>
      </c>
      <c r="F288" s="5">
        <v>927</v>
      </c>
      <c r="G288" s="3" t="s">
        <v>28</v>
      </c>
      <c r="H288" s="4">
        <v>13.21</v>
      </c>
      <c r="I288" s="4">
        <v>6.64</v>
      </c>
      <c r="J288" s="5">
        <v>298289</v>
      </c>
      <c r="K288" s="5">
        <v>319759</v>
      </c>
      <c r="L288" s="5">
        <v>166238</v>
      </c>
      <c r="M288" s="3" t="s">
        <v>17</v>
      </c>
      <c r="N288" s="10">
        <v>13328</v>
      </c>
      <c r="O288" s="12">
        <f>(Fact_Table[[#This Row],[Petrol_Output_BPD]]+Fact_Table[[#This Row],[Diesel_Output_BPD]]+Fact_Table[[#This Row],[Gas_Output_BPD]])/Fact_Table[[#This Row],[No_of_Employees]]</f>
        <v>846.04746494066887</v>
      </c>
      <c r="P288" s="2" t="str">
        <f>IF(Fact_Table[[#This Row],[0/P Producyivity/Day]]&gt;=1000,"High",IF(Fact_Table[[#This Row],[0/P Producyivity/Day]]&gt;=500,"Medium","Low"))</f>
        <v>Medium</v>
      </c>
      <c r="Q288" s="10">
        <f>Fact_Table[[#This Row],[Capacity_BPD]]/Fact_Table[[#This Row],[Average_Salary_AED]]</f>
        <v>58.845063025210081</v>
      </c>
      <c r="R288" s="15">
        <f>(Fact_Table[[#This Row],[Petrol_Output_BPD]]/Fact_Table[[#This Row],[Capacity_BPD]])</f>
        <v>0.38033143479364057</v>
      </c>
      <c r="S288" s="15">
        <f>Fact_Table[[#This Row],[Diesel_Output_BPD]]/Fact_Table[[#This Row],[Capacity_BPD]]</f>
        <v>0.40770661760299481</v>
      </c>
      <c r="T288" s="15">
        <f>Fact_Table[[#This Row],[Gas_Output_BPD]]/Fact_Table[[#This Row],[Capacity_BPD]]</f>
        <v>0.21196067255991749</v>
      </c>
      <c r="U28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88" s="8">
        <f ca="1">YEAR(TODAY())-Fact_Table[[#This Row],[Commissioned_Year]]</f>
        <v>26</v>
      </c>
      <c r="W288" s="40" cm="1">
        <f t="array" ref="W288">_xlfn.XLOOKUP(Fact_Table[[#This Row],[Commissioned_Year]],cost_table[[#All],[Year]],cost_table[[#All],[Average_Crude_Price_USD_per_Barrel]],"0")</f>
        <v>17</v>
      </c>
      <c r="X288" s="40">
        <f>Fact_Table[[#This Row],[Capacity_BPD]]*Fact_Table[[#This Row],[cost per barrel]]</f>
        <v>13332879</v>
      </c>
    </row>
    <row r="289" spans="1:24" x14ac:dyDescent="0.35">
      <c r="A289" t="s">
        <v>45</v>
      </c>
      <c r="B289" t="s">
        <v>14</v>
      </c>
      <c r="C289" t="s">
        <v>46</v>
      </c>
      <c r="D289" s="5">
        <v>245611</v>
      </c>
      <c r="E289" s="5">
        <v>1997</v>
      </c>
      <c r="F289" s="5">
        <v>440</v>
      </c>
      <c r="G289" s="3" t="s">
        <v>28</v>
      </c>
      <c r="H289" s="4">
        <v>4.74</v>
      </c>
      <c r="I289" s="4">
        <v>9.86</v>
      </c>
      <c r="J289" s="5">
        <v>92201</v>
      </c>
      <c r="K289" s="5">
        <v>101596</v>
      </c>
      <c r="L289" s="5">
        <v>51813</v>
      </c>
      <c r="M289" s="3" t="s">
        <v>23</v>
      </c>
      <c r="N289" s="10">
        <v>18278</v>
      </c>
      <c r="O289" s="12">
        <f>(Fact_Table[[#This Row],[Petrol_Output_BPD]]+Fact_Table[[#This Row],[Diesel_Output_BPD]]+Fact_Table[[#This Row],[Gas_Output_BPD]])/Fact_Table[[#This Row],[No_of_Employees]]</f>
        <v>558.2045454545455</v>
      </c>
      <c r="P289" s="2" t="str">
        <f>IF(Fact_Table[[#This Row],[0/P Producyivity/Day]]&gt;=1000,"High",IF(Fact_Table[[#This Row],[0/P Producyivity/Day]]&gt;=500,"Medium","Low"))</f>
        <v>Medium</v>
      </c>
      <c r="Q289" s="10">
        <f>Fact_Table[[#This Row],[Capacity_BPD]]/Fact_Table[[#This Row],[Average_Salary_AED]]</f>
        <v>13.437520516467885</v>
      </c>
      <c r="R289" s="15">
        <f>(Fact_Table[[#This Row],[Petrol_Output_BPD]]/Fact_Table[[#This Row],[Capacity_BPD]])</f>
        <v>0.37539442451681726</v>
      </c>
      <c r="S289" s="15">
        <f>Fact_Table[[#This Row],[Diesel_Output_BPD]]/Fact_Table[[#This Row],[Capacity_BPD]]</f>
        <v>0.41364596862518371</v>
      </c>
      <c r="T289" s="15">
        <f>Fact_Table[[#This Row],[Gas_Output_BPD]]/Fact_Table[[#This Row],[Capacity_BPD]]</f>
        <v>0.21095553537911577</v>
      </c>
      <c r="U289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89" s="8">
        <f ca="1">YEAR(TODAY())-Fact_Table[[#This Row],[Commissioned_Year]]</f>
        <v>28</v>
      </c>
      <c r="W289" s="40" cm="1">
        <f t="array" ref="W289">_xlfn.XLOOKUP(Fact_Table[[#This Row],[Commissioned_Year]],cost_table[[#All],[Year]],cost_table[[#All],[Average_Crude_Price_USD_per_Barrel]],"0")</f>
        <v>15</v>
      </c>
      <c r="X289" s="40">
        <f>Fact_Table[[#This Row],[Capacity_BPD]]*Fact_Table[[#This Row],[cost per barrel]]</f>
        <v>3684165</v>
      </c>
    </row>
    <row r="290" spans="1:24" x14ac:dyDescent="0.35">
      <c r="A290" t="s">
        <v>24</v>
      </c>
      <c r="B290" t="s">
        <v>19</v>
      </c>
      <c r="C290" t="s">
        <v>33</v>
      </c>
      <c r="D290" s="5">
        <v>874455</v>
      </c>
      <c r="E290" s="5">
        <v>2002</v>
      </c>
      <c r="F290" s="5">
        <v>2009</v>
      </c>
      <c r="G290" s="3" t="s">
        <v>16</v>
      </c>
      <c r="H290" s="4">
        <v>12.79</v>
      </c>
      <c r="I290" s="4">
        <v>8.64</v>
      </c>
      <c r="J290" s="5">
        <v>241700</v>
      </c>
      <c r="K290" s="5">
        <v>463105</v>
      </c>
      <c r="L290" s="5">
        <v>169649</v>
      </c>
      <c r="M290" s="3" t="s">
        <v>38</v>
      </c>
      <c r="N290" s="10">
        <v>12690</v>
      </c>
      <c r="O290" s="12">
        <f>(Fact_Table[[#This Row],[Petrol_Output_BPD]]+Fact_Table[[#This Row],[Diesel_Output_BPD]]+Fact_Table[[#This Row],[Gas_Output_BPD]])/Fact_Table[[#This Row],[No_of_Employees]]</f>
        <v>435.26829268292681</v>
      </c>
      <c r="P290" s="2" t="str">
        <f>IF(Fact_Table[[#This Row],[0/P Producyivity/Day]]&gt;=1000,"High",IF(Fact_Table[[#This Row],[0/P Producyivity/Day]]&gt;=500,"Medium","Low"))</f>
        <v>Low</v>
      </c>
      <c r="Q290" s="10">
        <f>Fact_Table[[#This Row],[Capacity_BPD]]/Fact_Table[[#This Row],[Average_Salary_AED]]</f>
        <v>68.908983451536642</v>
      </c>
      <c r="R290" s="15">
        <f>(Fact_Table[[#This Row],[Petrol_Output_BPD]]/Fact_Table[[#This Row],[Capacity_BPD]])</f>
        <v>0.27640072959729201</v>
      </c>
      <c r="S290" s="15">
        <f>Fact_Table[[#This Row],[Diesel_Output_BPD]]/Fact_Table[[#This Row],[Capacity_BPD]]</f>
        <v>0.52959271774991279</v>
      </c>
      <c r="T290" s="15">
        <f>Fact_Table[[#This Row],[Gas_Output_BPD]]/Fact_Table[[#This Row],[Capacity_BPD]]</f>
        <v>0.19400540908337194</v>
      </c>
      <c r="U290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90" s="8">
        <f ca="1">YEAR(TODAY())-Fact_Table[[#This Row],[Commissioned_Year]]</f>
        <v>23</v>
      </c>
      <c r="W290" s="40" cm="1">
        <f t="array" ref="W290">_xlfn.XLOOKUP(Fact_Table[[#This Row],[Commissioned_Year]],cost_table[[#All],[Year]],cost_table[[#All],[Average_Crude_Price_USD_per_Barrel]],"0")</f>
        <v>24.4</v>
      </c>
      <c r="X290" s="40">
        <f>Fact_Table[[#This Row],[Capacity_BPD]]*Fact_Table[[#This Row],[cost per barrel]]</f>
        <v>21336702</v>
      </c>
    </row>
    <row r="291" spans="1:24" x14ac:dyDescent="0.35">
      <c r="A291" t="s">
        <v>36</v>
      </c>
      <c r="B291" t="s">
        <v>14</v>
      </c>
      <c r="C291" t="s">
        <v>20</v>
      </c>
      <c r="D291" s="5">
        <v>609052</v>
      </c>
      <c r="E291" s="5">
        <v>2020</v>
      </c>
      <c r="F291" s="5">
        <v>2446</v>
      </c>
      <c r="G291" s="3" t="s">
        <v>28</v>
      </c>
      <c r="H291" s="4">
        <v>12.58</v>
      </c>
      <c r="I291" s="4">
        <v>6.02</v>
      </c>
      <c r="J291" s="5">
        <v>249306</v>
      </c>
      <c r="K291" s="5">
        <v>286520</v>
      </c>
      <c r="L291" s="5">
        <v>73225</v>
      </c>
      <c r="M291" s="3" t="s">
        <v>34</v>
      </c>
      <c r="N291" s="10">
        <v>9599</v>
      </c>
      <c r="O291" s="12">
        <f>(Fact_Table[[#This Row],[Petrol_Output_BPD]]+Fact_Table[[#This Row],[Diesel_Output_BPD]]+Fact_Table[[#This Row],[Gas_Output_BPD]])/Fact_Table[[#This Row],[No_of_Employees]]</f>
        <v>248.99877350776779</v>
      </c>
      <c r="P291" s="2" t="str">
        <f>IF(Fact_Table[[#This Row],[0/P Producyivity/Day]]&gt;=1000,"High",IF(Fact_Table[[#This Row],[0/P Producyivity/Day]]&gt;=500,"Medium","Low"))</f>
        <v>Low</v>
      </c>
      <c r="Q291" s="10">
        <f>Fact_Table[[#This Row],[Capacity_BPD]]/Fact_Table[[#This Row],[Average_Salary_AED]]</f>
        <v>63.449525992290866</v>
      </c>
      <c r="R291" s="15">
        <f>(Fact_Table[[#This Row],[Petrol_Output_BPD]]/Fact_Table[[#This Row],[Capacity_BPD]])</f>
        <v>0.40933450674162469</v>
      </c>
      <c r="S291" s="15">
        <f>Fact_Table[[#This Row],[Diesel_Output_BPD]]/Fact_Table[[#This Row],[Capacity_BPD]]</f>
        <v>0.47043602188318895</v>
      </c>
      <c r="T291" s="15">
        <f>Fact_Table[[#This Row],[Gas_Output_BPD]]/Fact_Table[[#This Row],[Capacity_BPD]]</f>
        <v>0.12022782947925628</v>
      </c>
      <c r="U29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91" s="8">
        <f ca="1">YEAR(TODAY())-Fact_Table[[#This Row],[Commissioned_Year]]</f>
        <v>5</v>
      </c>
      <c r="W291" s="40" cm="1">
        <f t="array" ref="W291">_xlfn.XLOOKUP(Fact_Table[[#This Row],[Commissioned_Year]],cost_table[[#All],[Year]],cost_table[[#All],[Average_Crude_Price_USD_per_Barrel]],"0")</f>
        <v>43.7</v>
      </c>
      <c r="X291" s="40">
        <f>Fact_Table[[#This Row],[Capacity_BPD]]*Fact_Table[[#This Row],[cost per barrel]]</f>
        <v>26615572.400000002</v>
      </c>
    </row>
    <row r="292" spans="1:24" x14ac:dyDescent="0.35">
      <c r="A292" t="s">
        <v>18</v>
      </c>
      <c r="B292" t="s">
        <v>14</v>
      </c>
      <c r="C292" t="s">
        <v>49</v>
      </c>
      <c r="D292" s="5">
        <v>156193</v>
      </c>
      <c r="E292" s="5">
        <v>2000</v>
      </c>
      <c r="F292" s="5">
        <v>2460</v>
      </c>
      <c r="G292" s="3" t="s">
        <v>21</v>
      </c>
      <c r="H292" s="4">
        <v>34.08</v>
      </c>
      <c r="I292" s="4">
        <v>9.69</v>
      </c>
      <c r="J292" s="5">
        <v>48676</v>
      </c>
      <c r="K292" s="5">
        <v>75475</v>
      </c>
      <c r="L292" s="5">
        <v>32041</v>
      </c>
      <c r="M292" s="3" t="s">
        <v>23</v>
      </c>
      <c r="N292" s="10">
        <v>20181</v>
      </c>
      <c r="O292" s="12">
        <f>(Fact_Table[[#This Row],[Petrol_Output_BPD]]+Fact_Table[[#This Row],[Diesel_Output_BPD]]+Fact_Table[[#This Row],[Gas_Output_BPD]])/Fact_Table[[#This Row],[No_of_Employees]]</f>
        <v>63.492682926829268</v>
      </c>
      <c r="P292" s="2" t="str">
        <f>IF(Fact_Table[[#This Row],[0/P Producyivity/Day]]&gt;=1000,"High",IF(Fact_Table[[#This Row],[0/P Producyivity/Day]]&gt;=500,"Medium","Low"))</f>
        <v>Low</v>
      </c>
      <c r="Q292" s="10">
        <f>Fact_Table[[#This Row],[Capacity_BPD]]/Fact_Table[[#This Row],[Average_Salary_AED]]</f>
        <v>7.7396065606263313</v>
      </c>
      <c r="R292" s="15">
        <f>(Fact_Table[[#This Row],[Petrol_Output_BPD]]/Fact_Table[[#This Row],[Capacity_BPD]])</f>
        <v>0.3116400863034835</v>
      </c>
      <c r="S292" s="15">
        <f>Fact_Table[[#This Row],[Diesel_Output_BPD]]/Fact_Table[[#This Row],[Capacity_BPD]]</f>
        <v>0.4832162772979583</v>
      </c>
      <c r="T292" s="15">
        <f>Fact_Table[[#This Row],[Gas_Output_BPD]]/Fact_Table[[#This Row],[Capacity_BPD]]</f>
        <v>0.20513723406298617</v>
      </c>
      <c r="U292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292" s="8">
        <f ca="1">YEAR(TODAY())-Fact_Table[[#This Row],[Commissioned_Year]]</f>
        <v>25</v>
      </c>
      <c r="W292" s="40" cm="1">
        <f t="array" ref="W292">_xlfn.XLOOKUP(Fact_Table[[#This Row],[Commissioned_Year]],cost_table[[#All],[Year]],cost_table[[#All],[Average_Crude_Price_USD_per_Barrel]],"0")</f>
        <v>23.1</v>
      </c>
      <c r="X292" s="40">
        <f>Fact_Table[[#This Row],[Capacity_BPD]]*Fact_Table[[#This Row],[cost per barrel]]</f>
        <v>3608058.3000000003</v>
      </c>
    </row>
    <row r="293" spans="1:24" x14ac:dyDescent="0.35">
      <c r="A293" t="s">
        <v>45</v>
      </c>
      <c r="B293" t="s">
        <v>26</v>
      </c>
      <c r="C293" t="s">
        <v>47</v>
      </c>
      <c r="D293" s="5">
        <v>107713</v>
      </c>
      <c r="E293" s="5">
        <v>2002</v>
      </c>
      <c r="F293" s="5">
        <v>1752</v>
      </c>
      <c r="G293" s="3" t="s">
        <v>21</v>
      </c>
      <c r="H293" s="4">
        <v>18.350000000000001</v>
      </c>
      <c r="I293" s="4">
        <v>7.16</v>
      </c>
      <c r="J293" s="5">
        <v>39418</v>
      </c>
      <c r="K293" s="5">
        <v>49311</v>
      </c>
      <c r="L293" s="5">
        <v>18983</v>
      </c>
      <c r="M293" s="3" t="s">
        <v>29</v>
      </c>
      <c r="N293" s="10">
        <v>22206</v>
      </c>
      <c r="O293" s="12">
        <f>(Fact_Table[[#This Row],[Petrol_Output_BPD]]+Fact_Table[[#This Row],[Diesel_Output_BPD]]+Fact_Table[[#This Row],[Gas_Output_BPD]])/Fact_Table[[#This Row],[No_of_Employees]]</f>
        <v>61.479452054794521</v>
      </c>
      <c r="P293" s="2" t="str">
        <f>IF(Fact_Table[[#This Row],[0/P Producyivity/Day]]&gt;=1000,"High",IF(Fact_Table[[#This Row],[0/P Producyivity/Day]]&gt;=500,"Medium","Low"))</f>
        <v>Low</v>
      </c>
      <c r="Q293" s="10">
        <f>Fact_Table[[#This Row],[Capacity_BPD]]/Fact_Table[[#This Row],[Average_Salary_AED]]</f>
        <v>4.8506259569485728</v>
      </c>
      <c r="R293" s="15">
        <f>(Fact_Table[[#This Row],[Petrol_Output_BPD]]/Fact_Table[[#This Row],[Capacity_BPD]])</f>
        <v>0.3659539702728547</v>
      </c>
      <c r="S293" s="15">
        <f>Fact_Table[[#This Row],[Diesel_Output_BPD]]/Fact_Table[[#This Row],[Capacity_BPD]]</f>
        <v>0.45779989416319294</v>
      </c>
      <c r="T293" s="15">
        <f>Fact_Table[[#This Row],[Gas_Output_BPD]]/Fact_Table[[#This Row],[Capacity_BPD]]</f>
        <v>0.17623685163350755</v>
      </c>
      <c r="U293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93" s="8">
        <f ca="1">YEAR(TODAY())-Fact_Table[[#This Row],[Commissioned_Year]]</f>
        <v>23</v>
      </c>
      <c r="W293" s="40" cm="1">
        <f t="array" ref="W293">_xlfn.XLOOKUP(Fact_Table[[#This Row],[Commissioned_Year]],cost_table[[#All],[Year]],cost_table[[#All],[Average_Crude_Price_USD_per_Barrel]],"0")</f>
        <v>24.4</v>
      </c>
      <c r="X293" s="40">
        <f>Fact_Table[[#This Row],[Capacity_BPD]]*Fact_Table[[#This Row],[cost per barrel]]</f>
        <v>2628197.1999999997</v>
      </c>
    </row>
    <row r="294" spans="1:24" x14ac:dyDescent="0.35">
      <c r="A294" t="s">
        <v>18</v>
      </c>
      <c r="B294" t="s">
        <v>40</v>
      </c>
      <c r="C294" t="s">
        <v>33</v>
      </c>
      <c r="D294" s="5">
        <v>242861</v>
      </c>
      <c r="E294" s="5">
        <v>2019</v>
      </c>
      <c r="F294" s="5">
        <v>1708</v>
      </c>
      <c r="G294" s="3" t="s">
        <v>16</v>
      </c>
      <c r="H294" s="4">
        <v>11.78</v>
      </c>
      <c r="I294" s="4">
        <v>6.57</v>
      </c>
      <c r="J294" s="5">
        <v>79254</v>
      </c>
      <c r="K294" s="5">
        <v>124199</v>
      </c>
      <c r="L294" s="5">
        <v>39406</v>
      </c>
      <c r="M294" s="3" t="s">
        <v>23</v>
      </c>
      <c r="N294" s="10">
        <v>16998</v>
      </c>
      <c r="O294" s="12">
        <f>(Fact_Table[[#This Row],[Petrol_Output_BPD]]+Fact_Table[[#This Row],[Diesel_Output_BPD]]+Fact_Table[[#This Row],[Gas_Output_BPD]])/Fact_Table[[#This Row],[No_of_Employees]]</f>
        <v>142.18911007025761</v>
      </c>
      <c r="P294" s="2" t="str">
        <f>IF(Fact_Table[[#This Row],[0/P Producyivity/Day]]&gt;=1000,"High",IF(Fact_Table[[#This Row],[0/P Producyivity/Day]]&gt;=500,"Medium","Low"))</f>
        <v>Low</v>
      </c>
      <c r="Q294" s="10">
        <f>Fact_Table[[#This Row],[Capacity_BPD]]/Fact_Table[[#This Row],[Average_Salary_AED]]</f>
        <v>14.28762207318508</v>
      </c>
      <c r="R294" s="15">
        <f>(Fact_Table[[#This Row],[Petrol_Output_BPD]]/Fact_Table[[#This Row],[Capacity_BPD]])</f>
        <v>0.32633481703525885</v>
      </c>
      <c r="S294" s="15">
        <f>Fact_Table[[#This Row],[Diesel_Output_BPD]]/Fact_Table[[#This Row],[Capacity_BPD]]</f>
        <v>0.5113995248310762</v>
      </c>
      <c r="T294" s="15">
        <f>Fact_Table[[#This Row],[Gas_Output_BPD]]/Fact_Table[[#This Row],[Capacity_BPD]]</f>
        <v>0.16225742297034107</v>
      </c>
      <c r="U294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94" s="8">
        <f ca="1">YEAR(TODAY())-Fact_Table[[#This Row],[Commissioned_Year]]</f>
        <v>6</v>
      </c>
      <c r="W294" s="40" cm="1">
        <f t="array" ref="W294">_xlfn.XLOOKUP(Fact_Table[[#This Row],[Commissioned_Year]],cost_table[[#All],[Year]],cost_table[[#All],[Average_Crude_Price_USD_per_Barrel]],"0")</f>
        <v>52.3</v>
      </c>
      <c r="X294" s="40">
        <f>Fact_Table[[#This Row],[Capacity_BPD]]*Fact_Table[[#This Row],[cost per barrel]]</f>
        <v>12701630.299999999</v>
      </c>
    </row>
    <row r="295" spans="1:24" x14ac:dyDescent="0.35">
      <c r="A295" t="s">
        <v>27</v>
      </c>
      <c r="B295" t="s">
        <v>41</v>
      </c>
      <c r="C295" t="s">
        <v>46</v>
      </c>
      <c r="D295" s="5">
        <v>287511</v>
      </c>
      <c r="E295" s="5">
        <v>2008</v>
      </c>
      <c r="F295" s="5">
        <v>1403</v>
      </c>
      <c r="G295" s="3" t="s">
        <v>16</v>
      </c>
      <c r="H295" s="4">
        <v>23.1</v>
      </c>
      <c r="I295" s="4">
        <v>7.26</v>
      </c>
      <c r="J295" s="5">
        <v>110290</v>
      </c>
      <c r="K295" s="5">
        <v>120665</v>
      </c>
      <c r="L295" s="5">
        <v>56555</v>
      </c>
      <c r="M295" s="3" t="s">
        <v>34</v>
      </c>
      <c r="N295" s="10">
        <v>19890</v>
      </c>
      <c r="O295" s="12">
        <f>(Fact_Table[[#This Row],[Petrol_Output_BPD]]+Fact_Table[[#This Row],[Diesel_Output_BPD]]+Fact_Table[[#This Row],[Gas_Output_BPD]])/Fact_Table[[#This Row],[No_of_Employees]]</f>
        <v>204.92516037063436</v>
      </c>
      <c r="P295" s="2" t="str">
        <f>IF(Fact_Table[[#This Row],[0/P Producyivity/Day]]&gt;=1000,"High",IF(Fact_Table[[#This Row],[0/P Producyivity/Day]]&gt;=500,"Medium","Low"))</f>
        <v>Low</v>
      </c>
      <c r="Q295" s="10">
        <f>Fact_Table[[#This Row],[Capacity_BPD]]/Fact_Table[[#This Row],[Average_Salary_AED]]</f>
        <v>14.455052790346908</v>
      </c>
      <c r="R295" s="15">
        <f>(Fact_Table[[#This Row],[Petrol_Output_BPD]]/Fact_Table[[#This Row],[Capacity_BPD]])</f>
        <v>0.38360271433092996</v>
      </c>
      <c r="S295" s="15">
        <f>Fact_Table[[#This Row],[Diesel_Output_BPD]]/Fact_Table[[#This Row],[Capacity_BPD]]</f>
        <v>0.41968829018715803</v>
      </c>
      <c r="T295" s="15">
        <f>Fact_Table[[#This Row],[Gas_Output_BPD]]/Fact_Table[[#This Row],[Capacity_BPD]]</f>
        <v>0.19670551735411862</v>
      </c>
      <c r="U295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95" s="8">
        <f ca="1">YEAR(TODAY())-Fact_Table[[#This Row],[Commissioned_Year]]</f>
        <v>17</v>
      </c>
      <c r="W295" s="40" cm="1">
        <f t="array" ref="W295">_xlfn.XLOOKUP(Fact_Table[[#This Row],[Commissioned_Year]],cost_table[[#All],[Year]],cost_table[[#All],[Average_Crude_Price_USD_per_Barrel]],"0")</f>
        <v>31</v>
      </c>
      <c r="X295" s="40">
        <f>Fact_Table[[#This Row],[Capacity_BPD]]*Fact_Table[[#This Row],[cost per barrel]]</f>
        <v>8912841</v>
      </c>
    </row>
    <row r="296" spans="1:24" x14ac:dyDescent="0.35">
      <c r="A296" t="s">
        <v>18</v>
      </c>
      <c r="B296" t="s">
        <v>32</v>
      </c>
      <c r="C296" t="s">
        <v>39</v>
      </c>
      <c r="D296" s="5">
        <v>755413</v>
      </c>
      <c r="E296" s="5">
        <v>1998</v>
      </c>
      <c r="F296" s="5">
        <v>1091</v>
      </c>
      <c r="G296" s="3" t="s">
        <v>28</v>
      </c>
      <c r="H296" s="4">
        <v>13.9</v>
      </c>
      <c r="I296" s="4">
        <v>5.22</v>
      </c>
      <c r="J296" s="5">
        <v>263631</v>
      </c>
      <c r="K296" s="5">
        <v>293528</v>
      </c>
      <c r="L296" s="5">
        <v>198253</v>
      </c>
      <c r="M296" s="3" t="s">
        <v>34</v>
      </c>
      <c r="N296" s="10">
        <v>20983</v>
      </c>
      <c r="O296" s="12">
        <f>(Fact_Table[[#This Row],[Petrol_Output_BPD]]+Fact_Table[[#This Row],[Diesel_Output_BPD]]+Fact_Table[[#This Row],[Gas_Output_BPD]])/Fact_Table[[#This Row],[No_of_Employees]]</f>
        <v>692.40329972502286</v>
      </c>
      <c r="P296" s="2" t="str">
        <f>IF(Fact_Table[[#This Row],[0/P Producyivity/Day]]&gt;=1000,"High",IF(Fact_Table[[#This Row],[0/P Producyivity/Day]]&gt;=500,"Medium","Low"))</f>
        <v>Medium</v>
      </c>
      <c r="Q296" s="10">
        <f>Fact_Table[[#This Row],[Capacity_BPD]]/Fact_Table[[#This Row],[Average_Salary_AED]]</f>
        <v>36.001191440690086</v>
      </c>
      <c r="R296" s="15">
        <f>(Fact_Table[[#This Row],[Petrol_Output_BPD]]/Fact_Table[[#This Row],[Capacity_BPD]])</f>
        <v>0.34898922840883068</v>
      </c>
      <c r="S296" s="15">
        <f>Fact_Table[[#This Row],[Diesel_Output_BPD]]/Fact_Table[[#This Row],[Capacity_BPD]]</f>
        <v>0.38856625448595666</v>
      </c>
      <c r="T296" s="15">
        <f>Fact_Table[[#This Row],[Gas_Output_BPD]]/Fact_Table[[#This Row],[Capacity_BPD]]</f>
        <v>0.26244319332603488</v>
      </c>
      <c r="U29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96" s="8">
        <f ca="1">YEAR(TODAY())-Fact_Table[[#This Row],[Commissioned_Year]]</f>
        <v>27</v>
      </c>
      <c r="W296" s="40" cm="1">
        <f t="array" ref="W296">_xlfn.XLOOKUP(Fact_Table[[#This Row],[Commissioned_Year]],cost_table[[#All],[Year]],cost_table[[#All],[Average_Crude_Price_USD_per_Barrel]],"0")</f>
        <v>12.8</v>
      </c>
      <c r="X296" s="40">
        <f>Fact_Table[[#This Row],[Capacity_BPD]]*Fact_Table[[#This Row],[cost per barrel]]</f>
        <v>9669286.4000000004</v>
      </c>
    </row>
    <row r="297" spans="1:24" x14ac:dyDescent="0.35">
      <c r="A297" t="s">
        <v>45</v>
      </c>
      <c r="B297" t="s">
        <v>19</v>
      </c>
      <c r="C297" t="s">
        <v>51</v>
      </c>
      <c r="D297" s="5">
        <v>354360</v>
      </c>
      <c r="E297" s="5">
        <v>2019</v>
      </c>
      <c r="F297" s="5">
        <v>1282</v>
      </c>
      <c r="G297" s="3" t="s">
        <v>16</v>
      </c>
      <c r="H297" s="4">
        <v>28.71</v>
      </c>
      <c r="I297" s="4">
        <v>6.71</v>
      </c>
      <c r="J297" s="5">
        <v>129836</v>
      </c>
      <c r="K297" s="5">
        <v>146305</v>
      </c>
      <c r="L297" s="5">
        <v>78217</v>
      </c>
      <c r="M297" s="3" t="s">
        <v>34</v>
      </c>
      <c r="N297" s="10">
        <v>15913</v>
      </c>
      <c r="O297" s="12">
        <f>(Fact_Table[[#This Row],[Petrol_Output_BPD]]+Fact_Table[[#This Row],[Diesel_Output_BPD]]+Fact_Table[[#This Row],[Gas_Output_BPD]])/Fact_Table[[#This Row],[No_of_Employees]]</f>
        <v>276.41029641185645</v>
      </c>
      <c r="P297" s="2" t="str">
        <f>IF(Fact_Table[[#This Row],[0/P Producyivity/Day]]&gt;=1000,"High",IF(Fact_Table[[#This Row],[0/P Producyivity/Day]]&gt;=500,"Medium","Low"))</f>
        <v>Low</v>
      </c>
      <c r="Q297" s="10">
        <f>Fact_Table[[#This Row],[Capacity_BPD]]/Fact_Table[[#This Row],[Average_Salary_AED]]</f>
        <v>22.268585433293534</v>
      </c>
      <c r="R297" s="15">
        <f>(Fact_Table[[#This Row],[Petrol_Output_BPD]]/Fact_Table[[#This Row],[Capacity_BPD]])</f>
        <v>0.36639575572863753</v>
      </c>
      <c r="S297" s="15">
        <f>Fact_Table[[#This Row],[Diesel_Output_BPD]]/Fact_Table[[#This Row],[Capacity_BPD]]</f>
        <v>0.41287109154532114</v>
      </c>
      <c r="T297" s="15">
        <f>Fact_Table[[#This Row],[Gas_Output_BPD]]/Fact_Table[[#This Row],[Capacity_BPD]]</f>
        <v>0.22072750874816571</v>
      </c>
      <c r="U297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97" s="8">
        <f ca="1">YEAR(TODAY())-Fact_Table[[#This Row],[Commissioned_Year]]</f>
        <v>6</v>
      </c>
      <c r="W297" s="40" cm="1">
        <f t="array" ref="W297">_xlfn.XLOOKUP(Fact_Table[[#This Row],[Commissioned_Year]],cost_table[[#All],[Year]],cost_table[[#All],[Average_Crude_Price_USD_per_Barrel]],"0")</f>
        <v>52.3</v>
      </c>
      <c r="X297" s="40">
        <f>Fact_Table[[#This Row],[Capacity_BPD]]*Fact_Table[[#This Row],[cost per barrel]]</f>
        <v>18533028</v>
      </c>
    </row>
    <row r="298" spans="1:24" x14ac:dyDescent="0.35">
      <c r="A298" t="s">
        <v>18</v>
      </c>
      <c r="B298" t="s">
        <v>32</v>
      </c>
      <c r="C298" t="s">
        <v>47</v>
      </c>
      <c r="D298" s="5">
        <v>683702</v>
      </c>
      <c r="E298" s="5">
        <v>1990</v>
      </c>
      <c r="F298" s="5">
        <v>1245</v>
      </c>
      <c r="G298" s="3" t="s">
        <v>16</v>
      </c>
      <c r="H298" s="4">
        <v>4.46</v>
      </c>
      <c r="I298" s="4">
        <v>6.45</v>
      </c>
      <c r="J298" s="5">
        <v>245728</v>
      </c>
      <c r="K298" s="5">
        <v>274564</v>
      </c>
      <c r="L298" s="5">
        <v>163409</v>
      </c>
      <c r="M298" s="3" t="s">
        <v>38</v>
      </c>
      <c r="N298" s="10">
        <v>23996</v>
      </c>
      <c r="O298" s="12">
        <f>(Fact_Table[[#This Row],[Petrol_Output_BPD]]+Fact_Table[[#This Row],[Diesel_Output_BPD]]+Fact_Table[[#This Row],[Gas_Output_BPD]])/Fact_Table[[#This Row],[No_of_Employees]]</f>
        <v>549.15742971887551</v>
      </c>
      <c r="P298" s="2" t="str">
        <f>IF(Fact_Table[[#This Row],[0/P Producyivity/Day]]&gt;=1000,"High",IF(Fact_Table[[#This Row],[0/P Producyivity/Day]]&gt;=500,"Medium","Low"))</f>
        <v>Medium</v>
      </c>
      <c r="Q298" s="10">
        <f>Fact_Table[[#This Row],[Capacity_BPD]]/Fact_Table[[#This Row],[Average_Salary_AED]]</f>
        <v>28.492332055342558</v>
      </c>
      <c r="R298" s="15">
        <f>(Fact_Table[[#This Row],[Petrol_Output_BPD]]/Fact_Table[[#This Row],[Capacity_BPD]])</f>
        <v>0.35940804619556471</v>
      </c>
      <c r="S298" s="15">
        <f>Fact_Table[[#This Row],[Diesel_Output_BPD]]/Fact_Table[[#This Row],[Capacity_BPD]]</f>
        <v>0.40158431597391847</v>
      </c>
      <c r="T298" s="15">
        <f>Fact_Table[[#This Row],[Gas_Output_BPD]]/Fact_Table[[#This Row],[Capacity_BPD]]</f>
        <v>0.23900617520498696</v>
      </c>
      <c r="U29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98" s="8">
        <f ca="1">YEAR(TODAY())-Fact_Table[[#This Row],[Commissioned_Year]]</f>
        <v>35</v>
      </c>
      <c r="W298" s="40" cm="1">
        <f t="array" ref="W298">_xlfn.XLOOKUP(Fact_Table[[#This Row],[Commissioned_Year]],cost_table[[#All],[Year]],cost_table[[#All],[Average_Crude_Price_USD_per_Barrel]],"0")</f>
        <v>22.3</v>
      </c>
      <c r="X298" s="40">
        <f>Fact_Table[[#This Row],[Capacity_BPD]]*Fact_Table[[#This Row],[cost per barrel]]</f>
        <v>15246554.6</v>
      </c>
    </row>
    <row r="299" spans="1:24" x14ac:dyDescent="0.35">
      <c r="A299" t="s">
        <v>45</v>
      </c>
      <c r="B299" t="s">
        <v>40</v>
      </c>
      <c r="C299" t="s">
        <v>47</v>
      </c>
      <c r="D299" s="5">
        <v>830401</v>
      </c>
      <c r="E299" s="5">
        <v>2021</v>
      </c>
      <c r="F299" s="5">
        <v>1079</v>
      </c>
      <c r="G299" s="3" t="s">
        <v>16</v>
      </c>
      <c r="H299" s="4">
        <v>19.62</v>
      </c>
      <c r="I299" s="4">
        <v>6.09</v>
      </c>
      <c r="J299" s="5">
        <v>291799</v>
      </c>
      <c r="K299" s="5">
        <v>377231</v>
      </c>
      <c r="L299" s="5">
        <v>161369</v>
      </c>
      <c r="M299" s="3" t="s">
        <v>23</v>
      </c>
      <c r="N299" s="10">
        <v>19699</v>
      </c>
      <c r="O299" s="12">
        <f>(Fact_Table[[#This Row],[Petrol_Output_BPD]]+Fact_Table[[#This Row],[Diesel_Output_BPD]]+Fact_Table[[#This Row],[Gas_Output_BPD]])/Fact_Table[[#This Row],[No_of_Employees]]</f>
        <v>769.60055607043557</v>
      </c>
      <c r="P299" s="2" t="str">
        <f>IF(Fact_Table[[#This Row],[0/P Producyivity/Day]]&gt;=1000,"High",IF(Fact_Table[[#This Row],[0/P Producyivity/Day]]&gt;=500,"Medium","Low"))</f>
        <v>Medium</v>
      </c>
      <c r="Q299" s="10">
        <f>Fact_Table[[#This Row],[Capacity_BPD]]/Fact_Table[[#This Row],[Average_Salary_AED]]</f>
        <v>42.154474846438909</v>
      </c>
      <c r="R299" s="15">
        <f>(Fact_Table[[#This Row],[Petrol_Output_BPD]]/Fact_Table[[#This Row],[Capacity_BPD]])</f>
        <v>0.35139528974555667</v>
      </c>
      <c r="S299" s="15">
        <f>Fact_Table[[#This Row],[Diesel_Output_BPD]]/Fact_Table[[#This Row],[Capacity_BPD]]</f>
        <v>0.45427570535199258</v>
      </c>
      <c r="T299" s="15">
        <f>Fact_Table[[#This Row],[Gas_Output_BPD]]/Fact_Table[[#This Row],[Capacity_BPD]]</f>
        <v>0.19432659642750913</v>
      </c>
      <c r="U299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299" s="8">
        <f ca="1">YEAR(TODAY())-Fact_Table[[#This Row],[Commissioned_Year]]</f>
        <v>4</v>
      </c>
      <c r="W299" s="40" cm="1">
        <f t="array" ref="W299">_xlfn.XLOOKUP(Fact_Table[[#This Row],[Commissioned_Year]],cost_table[[#All],[Year]],cost_table[[#All],[Average_Crude_Price_USD_per_Barrel]],"0")</f>
        <v>54.2</v>
      </c>
      <c r="X299" s="40">
        <f>Fact_Table[[#This Row],[Capacity_BPD]]*Fact_Table[[#This Row],[cost per barrel]]</f>
        <v>45007734.200000003</v>
      </c>
    </row>
    <row r="300" spans="1:24" x14ac:dyDescent="0.35">
      <c r="A300" t="s">
        <v>30</v>
      </c>
      <c r="B300" t="s">
        <v>14</v>
      </c>
      <c r="C300" t="s">
        <v>46</v>
      </c>
      <c r="D300" s="5">
        <v>616811</v>
      </c>
      <c r="E300" s="5">
        <v>2016</v>
      </c>
      <c r="F300" s="5">
        <v>401</v>
      </c>
      <c r="G300" s="3" t="s">
        <v>28</v>
      </c>
      <c r="H300" s="4">
        <v>16.45</v>
      </c>
      <c r="I300" s="4">
        <v>8.3000000000000007</v>
      </c>
      <c r="J300" s="5">
        <v>230789</v>
      </c>
      <c r="K300" s="5">
        <v>241682</v>
      </c>
      <c r="L300" s="5">
        <v>144339</v>
      </c>
      <c r="M300" s="3" t="s">
        <v>17</v>
      </c>
      <c r="N300" s="10">
        <v>12846</v>
      </c>
      <c r="O300" s="12">
        <f>(Fact_Table[[#This Row],[Petrol_Output_BPD]]+Fact_Table[[#This Row],[Diesel_Output_BPD]]+Fact_Table[[#This Row],[Gas_Output_BPD]])/Fact_Table[[#This Row],[No_of_Employees]]</f>
        <v>1538.1795511221944</v>
      </c>
      <c r="P300" s="2" t="str">
        <f>IF(Fact_Table[[#This Row],[0/P Producyivity/Day]]&gt;=1000,"High",IF(Fact_Table[[#This Row],[0/P Producyivity/Day]]&gt;=500,"Medium","Low"))</f>
        <v>High</v>
      </c>
      <c r="Q300" s="10">
        <f>Fact_Table[[#This Row],[Capacity_BPD]]/Fact_Table[[#This Row],[Average_Salary_AED]]</f>
        <v>48.015802584462087</v>
      </c>
      <c r="R300" s="15">
        <f>(Fact_Table[[#This Row],[Petrol_Output_BPD]]/Fact_Table[[#This Row],[Capacity_BPD]])</f>
        <v>0.37416485763061941</v>
      </c>
      <c r="S300" s="15">
        <f>Fact_Table[[#This Row],[Diesel_Output_BPD]]/Fact_Table[[#This Row],[Capacity_BPD]]</f>
        <v>0.39182504851567174</v>
      </c>
      <c r="T300" s="15">
        <f>Fact_Table[[#This Row],[Gas_Output_BPD]]/Fact_Table[[#This Row],[Capacity_BPD]]</f>
        <v>0.2340084726115455</v>
      </c>
      <c r="U300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00" s="8">
        <f ca="1">YEAR(TODAY())-Fact_Table[[#This Row],[Commissioned_Year]]</f>
        <v>9</v>
      </c>
      <c r="W300" s="40" cm="1">
        <f t="array" ref="W300">_xlfn.XLOOKUP(Fact_Table[[#This Row],[Commissioned_Year]],cost_table[[#All],[Year]],cost_table[[#All],[Average_Crude_Price_USD_per_Barrel]],"0")</f>
        <v>54.2</v>
      </c>
      <c r="X300" s="40">
        <f>Fact_Table[[#This Row],[Capacity_BPD]]*Fact_Table[[#This Row],[cost per barrel]]</f>
        <v>33431156.200000003</v>
      </c>
    </row>
    <row r="301" spans="1:24" x14ac:dyDescent="0.35">
      <c r="A301" t="s">
        <v>36</v>
      </c>
      <c r="B301" t="s">
        <v>40</v>
      </c>
      <c r="C301" t="s">
        <v>47</v>
      </c>
      <c r="D301" s="5">
        <v>100622</v>
      </c>
      <c r="E301" s="5">
        <v>2003</v>
      </c>
      <c r="F301" s="5">
        <v>1519</v>
      </c>
      <c r="G301" s="3" t="s">
        <v>16</v>
      </c>
      <c r="H301" s="4">
        <v>21.14</v>
      </c>
      <c r="I301" s="4">
        <v>7.88</v>
      </c>
      <c r="J301" s="5">
        <v>36135</v>
      </c>
      <c r="K301" s="5">
        <v>51104</v>
      </c>
      <c r="L301" s="5">
        <v>13381</v>
      </c>
      <c r="M301" s="3" t="s">
        <v>17</v>
      </c>
      <c r="N301" s="10">
        <v>24208</v>
      </c>
      <c r="O301" s="12">
        <f>(Fact_Table[[#This Row],[Petrol_Output_BPD]]+Fact_Table[[#This Row],[Diesel_Output_BPD]]+Fact_Table[[#This Row],[Gas_Output_BPD]])/Fact_Table[[#This Row],[No_of_Employees]]</f>
        <v>66.240947992100061</v>
      </c>
      <c r="P301" s="2" t="str">
        <f>IF(Fact_Table[[#This Row],[0/P Producyivity/Day]]&gt;=1000,"High",IF(Fact_Table[[#This Row],[0/P Producyivity/Day]]&gt;=500,"Medium","Low"))</f>
        <v>Low</v>
      </c>
      <c r="Q301" s="10">
        <f>Fact_Table[[#This Row],[Capacity_BPD]]/Fact_Table[[#This Row],[Average_Salary_AED]]</f>
        <v>4.1565598149372107</v>
      </c>
      <c r="R301" s="15">
        <f>(Fact_Table[[#This Row],[Petrol_Output_BPD]]/Fact_Table[[#This Row],[Capacity_BPD]])</f>
        <v>0.35911629663493072</v>
      </c>
      <c r="S301" s="15">
        <f>Fact_Table[[#This Row],[Diesel_Output_BPD]]/Fact_Table[[#This Row],[Capacity_BPD]]</f>
        <v>0.50788098030251838</v>
      </c>
      <c r="T301" s="15">
        <f>Fact_Table[[#This Row],[Gas_Output_BPD]]/Fact_Table[[#This Row],[Capacity_BPD]]</f>
        <v>0.13298284669356603</v>
      </c>
      <c r="U30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01" s="8">
        <f ca="1">YEAR(TODAY())-Fact_Table[[#This Row],[Commissioned_Year]]</f>
        <v>22</v>
      </c>
      <c r="W301" s="40" cm="1">
        <f t="array" ref="W301">_xlfn.XLOOKUP(Fact_Table[[#This Row],[Commissioned_Year]],cost_table[[#All],[Year]],cost_table[[#All],[Average_Crude_Price_USD_per_Barrel]],"0")</f>
        <v>17.2</v>
      </c>
      <c r="X301" s="40">
        <f>Fact_Table[[#This Row],[Capacity_BPD]]*Fact_Table[[#This Row],[cost per barrel]]</f>
        <v>1730698.4</v>
      </c>
    </row>
    <row r="302" spans="1:24" x14ac:dyDescent="0.35">
      <c r="A302" t="s">
        <v>30</v>
      </c>
      <c r="B302" t="s">
        <v>32</v>
      </c>
      <c r="C302" t="s">
        <v>46</v>
      </c>
      <c r="D302" s="5">
        <v>605627</v>
      </c>
      <c r="E302" s="5">
        <v>2021</v>
      </c>
      <c r="F302" s="5">
        <v>1626</v>
      </c>
      <c r="G302" s="3" t="s">
        <v>31</v>
      </c>
      <c r="H302" s="4">
        <v>18.23</v>
      </c>
      <c r="I302" s="4">
        <v>5.69</v>
      </c>
      <c r="J302" s="5">
        <v>260062</v>
      </c>
      <c r="K302" s="5">
        <v>212292</v>
      </c>
      <c r="L302" s="5">
        <v>133272</v>
      </c>
      <c r="M302" s="3" t="s">
        <v>17</v>
      </c>
      <c r="N302" s="10">
        <v>9821</v>
      </c>
      <c r="O302" s="12">
        <f>(Fact_Table[[#This Row],[Petrol_Output_BPD]]+Fact_Table[[#This Row],[Diesel_Output_BPD]]+Fact_Table[[#This Row],[Gas_Output_BPD]])/Fact_Table[[#This Row],[No_of_Employees]]</f>
        <v>372.46371463714638</v>
      </c>
      <c r="P302" s="2" t="str">
        <f>IF(Fact_Table[[#This Row],[0/P Producyivity/Day]]&gt;=1000,"High",IF(Fact_Table[[#This Row],[0/P Producyivity/Day]]&gt;=500,"Medium","Low"))</f>
        <v>Low</v>
      </c>
      <c r="Q302" s="10">
        <f>Fact_Table[[#This Row],[Capacity_BPD]]/Fact_Table[[#This Row],[Average_Salary_AED]]</f>
        <v>61.666530903166681</v>
      </c>
      <c r="R302" s="15">
        <f>(Fact_Table[[#This Row],[Petrol_Output_BPD]]/Fact_Table[[#This Row],[Capacity_BPD]])</f>
        <v>0.42940952104182939</v>
      </c>
      <c r="S302" s="15">
        <f>Fact_Table[[#This Row],[Diesel_Output_BPD]]/Fact_Table[[#This Row],[Capacity_BPD]]</f>
        <v>0.35053258854047126</v>
      </c>
      <c r="T302" s="15">
        <f>Fact_Table[[#This Row],[Gas_Output_BPD]]/Fact_Table[[#This Row],[Capacity_BPD]]</f>
        <v>0.22005623923636167</v>
      </c>
      <c r="U30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02" s="8">
        <f ca="1">YEAR(TODAY())-Fact_Table[[#This Row],[Commissioned_Year]]</f>
        <v>4</v>
      </c>
      <c r="W302" s="40" cm="1">
        <f t="array" ref="W302">_xlfn.XLOOKUP(Fact_Table[[#This Row],[Commissioned_Year]],cost_table[[#All],[Year]],cost_table[[#All],[Average_Crude_Price_USD_per_Barrel]],"0")</f>
        <v>54.2</v>
      </c>
      <c r="X302" s="40">
        <f>Fact_Table[[#This Row],[Capacity_BPD]]*Fact_Table[[#This Row],[cost per barrel]]</f>
        <v>32824983.400000002</v>
      </c>
    </row>
    <row r="303" spans="1:24" x14ac:dyDescent="0.35">
      <c r="A303" t="s">
        <v>37</v>
      </c>
      <c r="B303" t="s">
        <v>32</v>
      </c>
      <c r="C303" t="s">
        <v>49</v>
      </c>
      <c r="D303" s="5">
        <v>191336</v>
      </c>
      <c r="E303" s="5">
        <v>2004</v>
      </c>
      <c r="F303" s="5">
        <v>2450</v>
      </c>
      <c r="G303" s="3" t="s">
        <v>16</v>
      </c>
      <c r="H303" s="4">
        <v>34.049999999999997</v>
      </c>
      <c r="I303" s="4">
        <v>9.74</v>
      </c>
      <c r="J303" s="5">
        <v>65873</v>
      </c>
      <c r="K303" s="5">
        <v>84131</v>
      </c>
      <c r="L303" s="5">
        <v>41330</v>
      </c>
      <c r="M303" s="3" t="s">
        <v>29</v>
      </c>
      <c r="N303" s="10">
        <v>22660</v>
      </c>
      <c r="O303" s="12">
        <f>(Fact_Table[[#This Row],[Petrol_Output_BPD]]+Fact_Table[[#This Row],[Diesel_Output_BPD]]+Fact_Table[[#This Row],[Gas_Output_BPD]])/Fact_Table[[#This Row],[No_of_Employees]]</f>
        <v>78.095510204081634</v>
      </c>
      <c r="P303" s="2" t="str">
        <f>IF(Fact_Table[[#This Row],[0/P Producyivity/Day]]&gt;=1000,"High",IF(Fact_Table[[#This Row],[0/P Producyivity/Day]]&gt;=500,"Medium","Low"))</f>
        <v>Low</v>
      </c>
      <c r="Q303" s="10">
        <f>Fact_Table[[#This Row],[Capacity_BPD]]/Fact_Table[[#This Row],[Average_Salary_AED]]</f>
        <v>8.44377758164166</v>
      </c>
      <c r="R303" s="15">
        <f>(Fact_Table[[#This Row],[Petrol_Output_BPD]]/Fact_Table[[#This Row],[Capacity_BPD]])</f>
        <v>0.34427917380942424</v>
      </c>
      <c r="S303" s="15">
        <f>Fact_Table[[#This Row],[Diesel_Output_BPD]]/Fact_Table[[#This Row],[Capacity_BPD]]</f>
        <v>0.43970293096960322</v>
      </c>
      <c r="T303" s="15">
        <f>Fact_Table[[#This Row],[Gas_Output_BPD]]/Fact_Table[[#This Row],[Capacity_BPD]]</f>
        <v>0.2160074424049839</v>
      </c>
      <c r="U303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03" s="8">
        <f ca="1">YEAR(TODAY())-Fact_Table[[#This Row],[Commissioned_Year]]</f>
        <v>21</v>
      </c>
      <c r="W303" s="40" cm="1">
        <f t="array" ref="W303">_xlfn.XLOOKUP(Fact_Table[[#This Row],[Commissioned_Year]],cost_table[[#All],[Year]],cost_table[[#All],[Average_Crude_Price_USD_per_Barrel]],"0")</f>
        <v>18.600000000000001</v>
      </c>
      <c r="X303" s="40">
        <f>Fact_Table[[#This Row],[Capacity_BPD]]*Fact_Table[[#This Row],[cost per barrel]]</f>
        <v>3558849.6</v>
      </c>
    </row>
    <row r="304" spans="1:24" x14ac:dyDescent="0.35">
      <c r="A304" t="s">
        <v>37</v>
      </c>
      <c r="B304" t="s">
        <v>14</v>
      </c>
      <c r="C304" t="s">
        <v>47</v>
      </c>
      <c r="D304" s="5">
        <v>270807</v>
      </c>
      <c r="E304" s="5">
        <v>2021</v>
      </c>
      <c r="F304" s="5">
        <v>1090</v>
      </c>
      <c r="G304" s="3" t="s">
        <v>21</v>
      </c>
      <c r="H304" s="4">
        <v>18.18</v>
      </c>
      <c r="I304" s="4">
        <v>7.04</v>
      </c>
      <c r="J304" s="5">
        <v>101241</v>
      </c>
      <c r="K304" s="5">
        <v>126246</v>
      </c>
      <c r="L304" s="5">
        <v>43319</v>
      </c>
      <c r="M304" s="3" t="s">
        <v>34</v>
      </c>
      <c r="N304" s="10">
        <v>22867</v>
      </c>
      <c r="O304" s="12">
        <f>(Fact_Table[[#This Row],[Petrol_Output_BPD]]+Fact_Table[[#This Row],[Diesel_Output_BPD]]+Fact_Table[[#This Row],[Gas_Output_BPD]])/Fact_Table[[#This Row],[No_of_Employees]]</f>
        <v>248.44587155963302</v>
      </c>
      <c r="P304" s="2" t="str">
        <f>IF(Fact_Table[[#This Row],[0/P Producyivity/Day]]&gt;=1000,"High",IF(Fact_Table[[#This Row],[0/P Producyivity/Day]]&gt;=500,"Medium","Low"))</f>
        <v>Low</v>
      </c>
      <c r="Q304" s="10">
        <f>Fact_Table[[#This Row],[Capacity_BPD]]/Fact_Table[[#This Row],[Average_Salary_AED]]</f>
        <v>11.842699086019154</v>
      </c>
      <c r="R304" s="15">
        <f>(Fact_Table[[#This Row],[Petrol_Output_BPD]]/Fact_Table[[#This Row],[Capacity_BPD]])</f>
        <v>0.37384927272928692</v>
      </c>
      <c r="S304" s="15">
        <f>Fact_Table[[#This Row],[Diesel_Output_BPD]]/Fact_Table[[#This Row],[Capacity_BPD]]</f>
        <v>0.46618440439131925</v>
      </c>
      <c r="T304" s="15">
        <f>Fact_Table[[#This Row],[Gas_Output_BPD]]/Fact_Table[[#This Row],[Capacity_BPD]]</f>
        <v>0.15996263021266069</v>
      </c>
      <c r="U304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04" s="8">
        <f ca="1">YEAR(TODAY())-Fact_Table[[#This Row],[Commissioned_Year]]</f>
        <v>4</v>
      </c>
      <c r="W304" s="40" cm="1">
        <f t="array" ref="W304">_xlfn.XLOOKUP(Fact_Table[[#This Row],[Commissioned_Year]],cost_table[[#All],[Year]],cost_table[[#All],[Average_Crude_Price_USD_per_Barrel]],"0")</f>
        <v>54.2</v>
      </c>
      <c r="X304" s="40">
        <f>Fact_Table[[#This Row],[Capacity_BPD]]*Fact_Table[[#This Row],[cost per barrel]]</f>
        <v>14677739.4</v>
      </c>
    </row>
    <row r="305" spans="1:24" x14ac:dyDescent="0.35">
      <c r="A305" t="s">
        <v>24</v>
      </c>
      <c r="B305" t="s">
        <v>19</v>
      </c>
      <c r="C305" t="s">
        <v>46</v>
      </c>
      <c r="D305" s="5">
        <v>499956</v>
      </c>
      <c r="E305" s="5">
        <v>1982</v>
      </c>
      <c r="F305" s="5">
        <v>1214</v>
      </c>
      <c r="G305" s="3" t="s">
        <v>21</v>
      </c>
      <c r="H305" s="4">
        <v>19.86</v>
      </c>
      <c r="I305" s="4">
        <v>8.44</v>
      </c>
      <c r="J305" s="5">
        <v>175444</v>
      </c>
      <c r="K305" s="5">
        <v>219736</v>
      </c>
      <c r="L305" s="5">
        <v>104774</v>
      </c>
      <c r="M305" s="3" t="s">
        <v>34</v>
      </c>
      <c r="N305" s="10">
        <v>22759</v>
      </c>
      <c r="O305" s="12">
        <f>(Fact_Table[[#This Row],[Petrol_Output_BPD]]+Fact_Table[[#This Row],[Diesel_Output_BPD]]+Fact_Table[[#This Row],[Gas_Output_BPD]])/Fact_Table[[#This Row],[No_of_Employees]]</f>
        <v>411.82372322899505</v>
      </c>
      <c r="P305" s="2" t="str">
        <f>IF(Fact_Table[[#This Row],[0/P Producyivity/Day]]&gt;=1000,"High",IF(Fact_Table[[#This Row],[0/P Producyivity/Day]]&gt;=500,"Medium","Low"))</f>
        <v>Low</v>
      </c>
      <c r="Q305" s="10">
        <f>Fact_Table[[#This Row],[Capacity_BPD]]/Fact_Table[[#This Row],[Average_Salary_AED]]</f>
        <v>21.967397513071752</v>
      </c>
      <c r="R305" s="15">
        <f>(Fact_Table[[#This Row],[Petrol_Output_BPD]]/Fact_Table[[#This Row],[Capacity_BPD]])</f>
        <v>0.35091888086151579</v>
      </c>
      <c r="S305" s="15">
        <f>Fact_Table[[#This Row],[Diesel_Output_BPD]]/Fact_Table[[#This Row],[Capacity_BPD]]</f>
        <v>0.43951067693957069</v>
      </c>
      <c r="T305" s="15">
        <f>Fact_Table[[#This Row],[Gas_Output_BPD]]/Fact_Table[[#This Row],[Capacity_BPD]]</f>
        <v>0.20956644184688253</v>
      </c>
      <c r="U305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05" s="8">
        <f ca="1">YEAR(TODAY())-Fact_Table[[#This Row],[Commissioned_Year]]</f>
        <v>43</v>
      </c>
      <c r="W305" s="40" cm="1">
        <f t="array" ref="W305">_xlfn.XLOOKUP(Fact_Table[[#This Row],[Commissioned_Year]],cost_table[[#All],[Year]],cost_table[[#All],[Average_Crude_Price_USD_per_Barrel]],"0")</f>
        <v>32.799999999999997</v>
      </c>
      <c r="X305" s="40">
        <f>Fact_Table[[#This Row],[Capacity_BPD]]*Fact_Table[[#This Row],[cost per barrel]]</f>
        <v>16398556.799999999</v>
      </c>
    </row>
    <row r="306" spans="1:24" x14ac:dyDescent="0.35">
      <c r="A306" t="s">
        <v>27</v>
      </c>
      <c r="B306" t="s">
        <v>32</v>
      </c>
      <c r="C306" t="s">
        <v>15</v>
      </c>
      <c r="D306" s="5">
        <v>784387</v>
      </c>
      <c r="E306" s="5">
        <v>2010</v>
      </c>
      <c r="F306" s="5">
        <v>2044</v>
      </c>
      <c r="G306" s="3" t="s">
        <v>31</v>
      </c>
      <c r="H306" s="4">
        <v>34.380000000000003</v>
      </c>
      <c r="I306" s="4">
        <v>8.89</v>
      </c>
      <c r="J306" s="5">
        <v>325006</v>
      </c>
      <c r="K306" s="5">
        <v>336997</v>
      </c>
      <c r="L306" s="5">
        <v>122382</v>
      </c>
      <c r="M306" s="3" t="s">
        <v>34</v>
      </c>
      <c r="N306" s="10">
        <v>16314</v>
      </c>
      <c r="O306" s="12">
        <f>(Fact_Table[[#This Row],[Petrol_Output_BPD]]+Fact_Table[[#This Row],[Diesel_Output_BPD]]+Fact_Table[[#This Row],[Gas_Output_BPD]])/Fact_Table[[#This Row],[No_of_Employees]]</f>
        <v>383.75</v>
      </c>
      <c r="P306" s="2" t="str">
        <f>IF(Fact_Table[[#This Row],[0/P Producyivity/Day]]&gt;=1000,"High",IF(Fact_Table[[#This Row],[0/P Producyivity/Day]]&gt;=500,"Medium","Low"))</f>
        <v>Low</v>
      </c>
      <c r="Q306" s="10">
        <f>Fact_Table[[#This Row],[Capacity_BPD]]/Fact_Table[[#This Row],[Average_Salary_AED]]</f>
        <v>48.080605614809365</v>
      </c>
      <c r="R306" s="15">
        <f>(Fact_Table[[#This Row],[Petrol_Output_BPD]]/Fact_Table[[#This Row],[Capacity_BPD]])</f>
        <v>0.4143439399174132</v>
      </c>
      <c r="S306" s="15">
        <f>Fact_Table[[#This Row],[Diesel_Output_BPD]]/Fact_Table[[#This Row],[Capacity_BPD]]</f>
        <v>0.42963103672039438</v>
      </c>
      <c r="T306" s="15">
        <f>Fact_Table[[#This Row],[Gas_Output_BPD]]/Fact_Table[[#This Row],[Capacity_BPD]]</f>
        <v>0.15602247360040389</v>
      </c>
      <c r="U306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06" s="8">
        <f ca="1">YEAR(TODAY())-Fact_Table[[#This Row],[Commissioned_Year]]</f>
        <v>15</v>
      </c>
      <c r="W306" s="40" cm="1">
        <f t="array" ref="W306">_xlfn.XLOOKUP(Fact_Table[[#This Row],[Commissioned_Year]],cost_table[[#All],[Year]],cost_table[[#All],[Average_Crude_Price_USD_per_Barrel]],"0")</f>
        <v>56.6</v>
      </c>
      <c r="X306" s="40">
        <f>Fact_Table[[#This Row],[Capacity_BPD]]*Fact_Table[[#This Row],[cost per barrel]]</f>
        <v>44396304.200000003</v>
      </c>
    </row>
    <row r="307" spans="1:24" x14ac:dyDescent="0.35">
      <c r="A307" t="s">
        <v>36</v>
      </c>
      <c r="B307" t="s">
        <v>40</v>
      </c>
      <c r="C307" t="s">
        <v>39</v>
      </c>
      <c r="D307" s="5">
        <v>518387</v>
      </c>
      <c r="E307" s="5">
        <v>2002</v>
      </c>
      <c r="F307" s="5">
        <v>1350</v>
      </c>
      <c r="G307" s="3" t="s">
        <v>31</v>
      </c>
      <c r="H307" s="4">
        <v>23.66</v>
      </c>
      <c r="I307" s="4">
        <v>5.55</v>
      </c>
      <c r="J307" s="5">
        <v>224080</v>
      </c>
      <c r="K307" s="5">
        <v>188693</v>
      </c>
      <c r="L307" s="5">
        <v>105612</v>
      </c>
      <c r="M307" s="3" t="s">
        <v>17</v>
      </c>
      <c r="N307" s="10">
        <v>10080</v>
      </c>
      <c r="O307" s="12">
        <f>(Fact_Table[[#This Row],[Petrol_Output_BPD]]+Fact_Table[[#This Row],[Diesel_Output_BPD]]+Fact_Table[[#This Row],[Gas_Output_BPD]])/Fact_Table[[#This Row],[No_of_Employees]]</f>
        <v>383.98888888888888</v>
      </c>
      <c r="P307" s="2" t="str">
        <f>IF(Fact_Table[[#This Row],[0/P Producyivity/Day]]&gt;=1000,"High",IF(Fact_Table[[#This Row],[0/P Producyivity/Day]]&gt;=500,"Medium","Low"))</f>
        <v>Low</v>
      </c>
      <c r="Q307" s="10">
        <f>Fact_Table[[#This Row],[Capacity_BPD]]/Fact_Table[[#This Row],[Average_Salary_AED]]</f>
        <v>51.427281746031746</v>
      </c>
      <c r="R307" s="15">
        <f>(Fact_Table[[#This Row],[Petrol_Output_BPD]]/Fact_Table[[#This Row],[Capacity_BPD]])</f>
        <v>0.43226392637161037</v>
      </c>
      <c r="S307" s="15">
        <f>Fact_Table[[#This Row],[Diesel_Output_BPD]]/Fact_Table[[#This Row],[Capacity_BPD]]</f>
        <v>0.36400025463601515</v>
      </c>
      <c r="T307" s="15">
        <f>Fact_Table[[#This Row],[Gas_Output_BPD]]/Fact_Table[[#This Row],[Capacity_BPD]]</f>
        <v>0.20373196087093234</v>
      </c>
      <c r="U307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07" s="8">
        <f ca="1">YEAR(TODAY())-Fact_Table[[#This Row],[Commissioned_Year]]</f>
        <v>23</v>
      </c>
      <c r="W307" s="40" cm="1">
        <f t="array" ref="W307">_xlfn.XLOOKUP(Fact_Table[[#This Row],[Commissioned_Year]],cost_table[[#All],[Year]],cost_table[[#All],[Average_Crude_Price_USD_per_Barrel]],"0")</f>
        <v>24.4</v>
      </c>
      <c r="X307" s="40">
        <f>Fact_Table[[#This Row],[Capacity_BPD]]*Fact_Table[[#This Row],[cost per barrel]]</f>
        <v>12648642.799999999</v>
      </c>
    </row>
    <row r="308" spans="1:24" x14ac:dyDescent="0.35">
      <c r="A308" t="s">
        <v>35</v>
      </c>
      <c r="B308" t="s">
        <v>32</v>
      </c>
      <c r="C308" t="s">
        <v>51</v>
      </c>
      <c r="D308" s="5">
        <v>485525</v>
      </c>
      <c r="E308" s="5">
        <v>2014</v>
      </c>
      <c r="F308" s="5">
        <v>561</v>
      </c>
      <c r="G308" s="3" t="s">
        <v>31</v>
      </c>
      <c r="H308" s="4">
        <v>2.38</v>
      </c>
      <c r="I308" s="4">
        <v>8.84</v>
      </c>
      <c r="J308" s="5">
        <v>209915</v>
      </c>
      <c r="K308" s="5">
        <v>184012</v>
      </c>
      <c r="L308" s="5">
        <v>91596</v>
      </c>
      <c r="M308" s="3" t="s">
        <v>38</v>
      </c>
      <c r="N308" s="10">
        <v>16835</v>
      </c>
      <c r="O308" s="12">
        <f>(Fact_Table[[#This Row],[Petrol_Output_BPD]]+Fact_Table[[#This Row],[Diesel_Output_BPD]]+Fact_Table[[#This Row],[Gas_Output_BPD]])/Fact_Table[[#This Row],[No_of_Employees]]</f>
        <v>865.45989304812838</v>
      </c>
      <c r="P308" s="2" t="str">
        <f>IF(Fact_Table[[#This Row],[0/P Producyivity/Day]]&gt;=1000,"High",IF(Fact_Table[[#This Row],[0/P Producyivity/Day]]&gt;=500,"Medium","Low"))</f>
        <v>Medium</v>
      </c>
      <c r="Q308" s="10">
        <f>Fact_Table[[#This Row],[Capacity_BPD]]/Fact_Table[[#This Row],[Average_Salary_AED]]</f>
        <v>28.840213840213842</v>
      </c>
      <c r="R308" s="15">
        <f>(Fact_Table[[#This Row],[Petrol_Output_BPD]]/Fact_Table[[#This Row],[Capacity_BPD]])</f>
        <v>0.43234642912311416</v>
      </c>
      <c r="S308" s="15">
        <f>Fact_Table[[#This Row],[Diesel_Output_BPD]]/Fact_Table[[#This Row],[Capacity_BPD]]</f>
        <v>0.37899593223829875</v>
      </c>
      <c r="T308" s="15">
        <f>Fact_Table[[#This Row],[Gas_Output_BPD]]/Fact_Table[[#This Row],[Capacity_BPD]]</f>
        <v>0.1886535193862314</v>
      </c>
      <c r="U308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08" s="8">
        <f ca="1">YEAR(TODAY())-Fact_Table[[#This Row],[Commissioned_Year]]</f>
        <v>11</v>
      </c>
      <c r="W308" s="40" cm="1">
        <f t="array" ref="W308">_xlfn.XLOOKUP(Fact_Table[[#This Row],[Commissioned_Year]],cost_table[[#All],[Year]],cost_table[[#All],[Average_Crude_Price_USD_per_Barrel]],"0")</f>
        <v>61.9</v>
      </c>
      <c r="X308" s="40">
        <f>Fact_Table[[#This Row],[Capacity_BPD]]*Fact_Table[[#This Row],[cost per barrel]]</f>
        <v>30053997.5</v>
      </c>
    </row>
    <row r="309" spans="1:24" x14ac:dyDescent="0.35">
      <c r="A309" t="s">
        <v>45</v>
      </c>
      <c r="B309" t="s">
        <v>14</v>
      </c>
      <c r="C309" t="s">
        <v>15</v>
      </c>
      <c r="D309" s="5">
        <v>695050</v>
      </c>
      <c r="E309" s="5">
        <v>1979</v>
      </c>
      <c r="F309" s="5">
        <v>2000</v>
      </c>
      <c r="G309" s="3" t="s">
        <v>28</v>
      </c>
      <c r="H309" s="4">
        <v>26.05</v>
      </c>
      <c r="I309" s="4">
        <v>8.93</v>
      </c>
      <c r="J309" s="5">
        <v>239186</v>
      </c>
      <c r="K309" s="5">
        <v>258188</v>
      </c>
      <c r="L309" s="5">
        <v>197675</v>
      </c>
      <c r="M309" s="3" t="s">
        <v>34</v>
      </c>
      <c r="N309" s="10">
        <v>23396</v>
      </c>
      <c r="O309" s="12">
        <f>(Fact_Table[[#This Row],[Petrol_Output_BPD]]+Fact_Table[[#This Row],[Diesel_Output_BPD]]+Fact_Table[[#This Row],[Gas_Output_BPD]])/Fact_Table[[#This Row],[No_of_Employees]]</f>
        <v>347.52449999999999</v>
      </c>
      <c r="P309" s="2" t="str">
        <f>IF(Fact_Table[[#This Row],[0/P Producyivity/Day]]&gt;=1000,"High",IF(Fact_Table[[#This Row],[0/P Producyivity/Day]]&gt;=500,"Medium","Low"))</f>
        <v>Low</v>
      </c>
      <c r="Q309" s="10">
        <f>Fact_Table[[#This Row],[Capacity_BPD]]/Fact_Table[[#This Row],[Average_Salary_AED]]</f>
        <v>29.708069755513762</v>
      </c>
      <c r="R309" s="15">
        <f>(Fact_Table[[#This Row],[Petrol_Output_BPD]]/Fact_Table[[#This Row],[Capacity_BPD]])</f>
        <v>0.34412776059276312</v>
      </c>
      <c r="S309" s="15">
        <f>Fact_Table[[#This Row],[Diesel_Output_BPD]]/Fact_Table[[#This Row],[Capacity_BPD]]</f>
        <v>0.37146680094957196</v>
      </c>
      <c r="T309" s="15">
        <f>Fact_Table[[#This Row],[Gas_Output_BPD]]/Fact_Table[[#This Row],[Capacity_BPD]]</f>
        <v>0.28440399971225094</v>
      </c>
      <c r="U309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09" s="8">
        <f ca="1">YEAR(TODAY())-Fact_Table[[#This Row],[Commissioned_Year]]</f>
        <v>46</v>
      </c>
      <c r="W309" s="40" cm="1">
        <f t="array" ref="W309">_xlfn.XLOOKUP(Fact_Table[[#This Row],[Commissioned_Year]],cost_table[[#All],[Year]],cost_table[[#All],[Average_Crude_Price_USD_per_Barrel]],"0")</f>
        <v>31.6</v>
      </c>
      <c r="X309" s="40">
        <f>Fact_Table[[#This Row],[Capacity_BPD]]*Fact_Table[[#This Row],[cost per barrel]]</f>
        <v>21963580</v>
      </c>
    </row>
    <row r="310" spans="1:24" x14ac:dyDescent="0.35">
      <c r="A310" t="s">
        <v>27</v>
      </c>
      <c r="B310" t="s">
        <v>32</v>
      </c>
      <c r="C310" t="s">
        <v>39</v>
      </c>
      <c r="D310" s="5">
        <v>249860</v>
      </c>
      <c r="E310" s="5">
        <v>1993</v>
      </c>
      <c r="F310" s="5">
        <v>670</v>
      </c>
      <c r="G310" s="3" t="s">
        <v>28</v>
      </c>
      <c r="H310" s="4">
        <v>9.18</v>
      </c>
      <c r="I310" s="4">
        <v>5.19</v>
      </c>
      <c r="J310" s="5">
        <v>97507</v>
      </c>
      <c r="K310" s="5">
        <v>99561</v>
      </c>
      <c r="L310" s="5">
        <v>52790</v>
      </c>
      <c r="M310" s="3" t="s">
        <v>34</v>
      </c>
      <c r="N310" s="10">
        <v>20625</v>
      </c>
      <c r="O310" s="12">
        <f>(Fact_Table[[#This Row],[Petrol_Output_BPD]]+Fact_Table[[#This Row],[Diesel_Output_BPD]]+Fact_Table[[#This Row],[Gas_Output_BPD]])/Fact_Table[[#This Row],[No_of_Employees]]</f>
        <v>372.92238805970152</v>
      </c>
      <c r="P310" s="2" t="str">
        <f>IF(Fact_Table[[#This Row],[0/P Producyivity/Day]]&gt;=1000,"High",IF(Fact_Table[[#This Row],[0/P Producyivity/Day]]&gt;=500,"Medium","Low"))</f>
        <v>Low</v>
      </c>
      <c r="Q310" s="10">
        <f>Fact_Table[[#This Row],[Capacity_BPD]]/Fact_Table[[#This Row],[Average_Salary_AED]]</f>
        <v>12.114424242424242</v>
      </c>
      <c r="R310" s="15">
        <f>(Fact_Table[[#This Row],[Petrol_Output_BPD]]/Fact_Table[[#This Row],[Capacity_BPD]])</f>
        <v>0.39024653806131432</v>
      </c>
      <c r="S310" s="15">
        <f>Fact_Table[[#This Row],[Diesel_Output_BPD]]/Fact_Table[[#This Row],[Capacity_BPD]]</f>
        <v>0.39846714159929558</v>
      </c>
      <c r="T310" s="15">
        <f>Fact_Table[[#This Row],[Gas_Output_BPD]]/Fact_Table[[#This Row],[Capacity_BPD]]</f>
        <v>0.21127831585687984</v>
      </c>
      <c r="U310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10" s="8">
        <f ca="1">YEAR(TODAY())-Fact_Table[[#This Row],[Commissioned_Year]]</f>
        <v>32</v>
      </c>
      <c r="W310" s="40" cm="1">
        <f t="array" ref="W310">_xlfn.XLOOKUP(Fact_Table[[#This Row],[Commissioned_Year]],cost_table[[#All],[Year]],cost_table[[#All],[Average_Crude_Price_USD_per_Barrel]],"0")</f>
        <v>17</v>
      </c>
      <c r="X310" s="40">
        <f>Fact_Table[[#This Row],[Capacity_BPD]]*Fact_Table[[#This Row],[cost per barrel]]</f>
        <v>4247620</v>
      </c>
    </row>
    <row r="311" spans="1:24" x14ac:dyDescent="0.35">
      <c r="A311" t="s">
        <v>27</v>
      </c>
      <c r="B311" t="s">
        <v>41</v>
      </c>
      <c r="C311" t="s">
        <v>49</v>
      </c>
      <c r="D311" s="5">
        <v>165812</v>
      </c>
      <c r="E311" s="5">
        <v>1993</v>
      </c>
      <c r="F311" s="5">
        <v>586</v>
      </c>
      <c r="G311" s="3" t="s">
        <v>21</v>
      </c>
      <c r="H311" s="4">
        <v>32.24</v>
      </c>
      <c r="I311" s="4">
        <v>9.98</v>
      </c>
      <c r="J311" s="5">
        <v>50694</v>
      </c>
      <c r="K311" s="5">
        <v>74442</v>
      </c>
      <c r="L311" s="5">
        <v>40675</v>
      </c>
      <c r="M311" s="3" t="s">
        <v>29</v>
      </c>
      <c r="N311" s="10">
        <v>14687</v>
      </c>
      <c r="O311" s="12">
        <f>(Fact_Table[[#This Row],[Petrol_Output_BPD]]+Fact_Table[[#This Row],[Diesel_Output_BPD]]+Fact_Table[[#This Row],[Gas_Output_BPD]])/Fact_Table[[#This Row],[No_of_Employees]]</f>
        <v>282.95392491467578</v>
      </c>
      <c r="P311" s="2" t="str">
        <f>IF(Fact_Table[[#This Row],[0/P Producyivity/Day]]&gt;=1000,"High",IF(Fact_Table[[#This Row],[0/P Producyivity/Day]]&gt;=500,"Medium","Low"))</f>
        <v>Low</v>
      </c>
      <c r="Q311" s="10">
        <f>Fact_Table[[#This Row],[Capacity_BPD]]/Fact_Table[[#This Row],[Average_Salary_AED]]</f>
        <v>11.289711990195411</v>
      </c>
      <c r="R311" s="15">
        <f>(Fact_Table[[#This Row],[Petrol_Output_BPD]]/Fact_Table[[#This Row],[Capacity_BPD]])</f>
        <v>0.30573179263262007</v>
      </c>
      <c r="S311" s="15">
        <f>Fact_Table[[#This Row],[Diesel_Output_BPD]]/Fact_Table[[#This Row],[Capacity_BPD]]</f>
        <v>0.44895423732902323</v>
      </c>
      <c r="T311" s="15">
        <f>Fact_Table[[#This Row],[Gas_Output_BPD]]/Fact_Table[[#This Row],[Capacity_BPD]]</f>
        <v>0.24530793911176513</v>
      </c>
      <c r="U311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11" s="8">
        <f ca="1">YEAR(TODAY())-Fact_Table[[#This Row],[Commissioned_Year]]</f>
        <v>32</v>
      </c>
      <c r="W311" s="40" cm="1">
        <f t="array" ref="W311">_xlfn.XLOOKUP(Fact_Table[[#This Row],[Commissioned_Year]],cost_table[[#All],[Year]],cost_table[[#All],[Average_Crude_Price_USD_per_Barrel]],"0")</f>
        <v>17</v>
      </c>
      <c r="X311" s="40">
        <f>Fact_Table[[#This Row],[Capacity_BPD]]*Fact_Table[[#This Row],[cost per barrel]]</f>
        <v>2818804</v>
      </c>
    </row>
    <row r="312" spans="1:24" x14ac:dyDescent="0.35">
      <c r="A312" t="s">
        <v>22</v>
      </c>
      <c r="B312" t="s">
        <v>26</v>
      </c>
      <c r="C312" t="s">
        <v>49</v>
      </c>
      <c r="D312" s="5">
        <v>744248</v>
      </c>
      <c r="E312" s="5">
        <v>2007</v>
      </c>
      <c r="F312" s="5">
        <v>776</v>
      </c>
      <c r="G312" s="3" t="s">
        <v>16</v>
      </c>
      <c r="H312" s="4">
        <v>20.83</v>
      </c>
      <c r="I312" s="4">
        <v>8.73</v>
      </c>
      <c r="J312" s="5">
        <v>249380</v>
      </c>
      <c r="K312" s="5">
        <v>374553</v>
      </c>
      <c r="L312" s="5">
        <v>120314</v>
      </c>
      <c r="M312" s="3" t="s">
        <v>23</v>
      </c>
      <c r="N312" s="10">
        <v>11648</v>
      </c>
      <c r="O312" s="12">
        <f>(Fact_Table[[#This Row],[Petrol_Output_BPD]]+Fact_Table[[#This Row],[Diesel_Output_BPD]]+Fact_Table[[#This Row],[Gas_Output_BPD]])/Fact_Table[[#This Row],[No_of_Employees]]</f>
        <v>959.08118556701027</v>
      </c>
      <c r="P312" s="2" t="str">
        <f>IF(Fact_Table[[#This Row],[0/P Producyivity/Day]]&gt;=1000,"High",IF(Fact_Table[[#This Row],[0/P Producyivity/Day]]&gt;=500,"Medium","Low"))</f>
        <v>Medium</v>
      </c>
      <c r="Q312" s="10">
        <f>Fact_Table[[#This Row],[Capacity_BPD]]/Fact_Table[[#This Row],[Average_Salary_AED]]</f>
        <v>63.894917582417584</v>
      </c>
      <c r="R312" s="15">
        <f>(Fact_Table[[#This Row],[Petrol_Output_BPD]]/Fact_Table[[#This Row],[Capacity_BPD]])</f>
        <v>0.33507647988304973</v>
      </c>
      <c r="S312" s="15">
        <f>Fact_Table[[#This Row],[Diesel_Output_BPD]]/Fact_Table[[#This Row],[Capacity_BPD]]</f>
        <v>0.50326369704722085</v>
      </c>
      <c r="T312" s="15">
        <f>Fact_Table[[#This Row],[Gas_Output_BPD]]/Fact_Table[[#This Row],[Capacity_BPD]]</f>
        <v>0.16165847943158732</v>
      </c>
      <c r="U312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12" s="8">
        <f ca="1">YEAR(TODAY())-Fact_Table[[#This Row],[Commissioned_Year]]</f>
        <v>18</v>
      </c>
      <c r="W312" s="40" cm="1">
        <f t="array" ref="W312">_xlfn.XLOOKUP(Fact_Table[[#This Row],[Commissioned_Year]],cost_table[[#All],[Year]],cost_table[[#All],[Average_Crude_Price_USD_per_Barrel]],"0")</f>
        <v>24.4</v>
      </c>
      <c r="X312" s="40">
        <f>Fact_Table[[#This Row],[Capacity_BPD]]*Fact_Table[[#This Row],[cost per barrel]]</f>
        <v>18159651.199999999</v>
      </c>
    </row>
    <row r="313" spans="1:24" x14ac:dyDescent="0.35">
      <c r="A313" t="s">
        <v>45</v>
      </c>
      <c r="B313" t="s">
        <v>40</v>
      </c>
      <c r="C313" t="s">
        <v>49</v>
      </c>
      <c r="D313" s="5">
        <v>671770</v>
      </c>
      <c r="E313" s="5">
        <v>1977</v>
      </c>
      <c r="F313" s="5">
        <v>2467</v>
      </c>
      <c r="G313" s="3" t="s">
        <v>16</v>
      </c>
      <c r="H313" s="4">
        <v>2.0499999999999998</v>
      </c>
      <c r="I313" s="4">
        <v>5.59</v>
      </c>
      <c r="J313" s="5">
        <v>182490</v>
      </c>
      <c r="K313" s="5">
        <v>319132</v>
      </c>
      <c r="L313" s="5">
        <v>170146</v>
      </c>
      <c r="M313" s="3" t="s">
        <v>34</v>
      </c>
      <c r="N313" s="10">
        <v>18276</v>
      </c>
      <c r="O313" s="12">
        <f>(Fact_Table[[#This Row],[Petrol_Output_BPD]]+Fact_Table[[#This Row],[Diesel_Output_BPD]]+Fact_Table[[#This Row],[Gas_Output_BPD]])/Fact_Table[[#This Row],[No_of_Employees]]</f>
        <v>272.30158086745035</v>
      </c>
      <c r="P313" s="2" t="str">
        <f>IF(Fact_Table[[#This Row],[0/P Producyivity/Day]]&gt;=1000,"High",IF(Fact_Table[[#This Row],[0/P Producyivity/Day]]&gt;=500,"Medium","Low"))</f>
        <v>Low</v>
      </c>
      <c r="Q313" s="10">
        <f>Fact_Table[[#This Row],[Capacity_BPD]]/Fact_Table[[#This Row],[Average_Salary_AED]]</f>
        <v>36.756949004158457</v>
      </c>
      <c r="R313" s="15">
        <f>(Fact_Table[[#This Row],[Petrol_Output_BPD]]/Fact_Table[[#This Row],[Capacity_BPD]])</f>
        <v>0.27165547732110695</v>
      </c>
      <c r="S313" s="15">
        <f>Fact_Table[[#This Row],[Diesel_Output_BPD]]/Fact_Table[[#This Row],[Capacity_BPD]]</f>
        <v>0.47506140494514493</v>
      </c>
      <c r="T313" s="15">
        <f>Fact_Table[[#This Row],[Gas_Output_BPD]]/Fact_Table[[#This Row],[Capacity_BPD]]</f>
        <v>0.2532801405242866</v>
      </c>
      <c r="U313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13" s="8">
        <f ca="1">YEAR(TODAY())-Fact_Table[[#This Row],[Commissioned_Year]]</f>
        <v>48</v>
      </c>
      <c r="W313" s="40" cm="1">
        <f t="array" ref="W313">_xlfn.XLOOKUP(Fact_Table[[#This Row],[Commissioned_Year]],cost_table[[#All],[Year]],cost_table[[#All],[Average_Crude_Price_USD_per_Barrel]],"0")</f>
        <v>12.8</v>
      </c>
      <c r="X313" s="40">
        <f>Fact_Table[[#This Row],[Capacity_BPD]]*Fact_Table[[#This Row],[cost per barrel]]</f>
        <v>8598656</v>
      </c>
    </row>
    <row r="314" spans="1:24" x14ac:dyDescent="0.35">
      <c r="A314" t="s">
        <v>37</v>
      </c>
      <c r="B314" t="s">
        <v>40</v>
      </c>
      <c r="C314" t="s">
        <v>48</v>
      </c>
      <c r="D314" s="5">
        <v>110820</v>
      </c>
      <c r="E314" s="5">
        <v>1989</v>
      </c>
      <c r="F314" s="5">
        <v>1288</v>
      </c>
      <c r="G314" s="3" t="s">
        <v>21</v>
      </c>
      <c r="H314" s="4">
        <v>13.28</v>
      </c>
      <c r="I314" s="4">
        <v>7.71</v>
      </c>
      <c r="J314" s="5">
        <v>35898</v>
      </c>
      <c r="K314" s="5">
        <v>50035</v>
      </c>
      <c r="L314" s="5">
        <v>24886</v>
      </c>
      <c r="M314" s="3" t="s">
        <v>38</v>
      </c>
      <c r="N314" s="10">
        <v>17960</v>
      </c>
      <c r="O314" s="12">
        <f>(Fact_Table[[#This Row],[Petrol_Output_BPD]]+Fact_Table[[#This Row],[Diesel_Output_BPD]]+Fact_Table[[#This Row],[Gas_Output_BPD]])/Fact_Table[[#This Row],[No_of_Employees]]</f>
        <v>86.03959627329192</v>
      </c>
      <c r="P314" s="2" t="str">
        <f>IF(Fact_Table[[#This Row],[0/P Producyivity/Day]]&gt;=1000,"High",IF(Fact_Table[[#This Row],[0/P Producyivity/Day]]&gt;=500,"Medium","Low"))</f>
        <v>Low</v>
      </c>
      <c r="Q314" s="10">
        <f>Fact_Table[[#This Row],[Capacity_BPD]]/Fact_Table[[#This Row],[Average_Salary_AED]]</f>
        <v>6.1703786191536745</v>
      </c>
      <c r="R314" s="15">
        <f>(Fact_Table[[#This Row],[Petrol_Output_BPD]]/Fact_Table[[#This Row],[Capacity_BPD]])</f>
        <v>0.32393069842988631</v>
      </c>
      <c r="S314" s="15">
        <f>Fact_Table[[#This Row],[Diesel_Output_BPD]]/Fact_Table[[#This Row],[Capacity_BPD]]</f>
        <v>0.45149792456235338</v>
      </c>
      <c r="T314" s="15">
        <f>Fact_Table[[#This Row],[Gas_Output_BPD]]/Fact_Table[[#This Row],[Capacity_BPD]]</f>
        <v>0.22456235336581845</v>
      </c>
      <c r="U314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14" s="8">
        <f ca="1">YEAR(TODAY())-Fact_Table[[#This Row],[Commissioned_Year]]</f>
        <v>36</v>
      </c>
      <c r="W314" s="40" cm="1">
        <f t="array" ref="W314">_xlfn.XLOOKUP(Fact_Table[[#This Row],[Commissioned_Year]],cost_table[[#All],[Year]],cost_table[[#All],[Average_Crude_Price_USD_per_Barrel]],"0")</f>
        <v>18.2</v>
      </c>
      <c r="X314" s="40">
        <f>Fact_Table[[#This Row],[Capacity_BPD]]*Fact_Table[[#This Row],[cost per barrel]]</f>
        <v>2016924</v>
      </c>
    </row>
    <row r="315" spans="1:24" x14ac:dyDescent="0.35">
      <c r="A315" t="s">
        <v>45</v>
      </c>
      <c r="B315" t="s">
        <v>14</v>
      </c>
      <c r="C315" t="s">
        <v>48</v>
      </c>
      <c r="D315" s="5">
        <v>675080</v>
      </c>
      <c r="E315" s="5">
        <v>2006</v>
      </c>
      <c r="F315" s="5">
        <v>2188</v>
      </c>
      <c r="G315" s="3" t="s">
        <v>28</v>
      </c>
      <c r="H315" s="4">
        <v>2.39</v>
      </c>
      <c r="I315" s="4">
        <v>5.56</v>
      </c>
      <c r="J315" s="5">
        <v>257208</v>
      </c>
      <c r="K315" s="5">
        <v>281198</v>
      </c>
      <c r="L315" s="5">
        <v>136672</v>
      </c>
      <c r="M315" s="3" t="s">
        <v>29</v>
      </c>
      <c r="N315" s="10">
        <v>17112</v>
      </c>
      <c r="O315" s="12">
        <f>(Fact_Table[[#This Row],[Petrol_Output_BPD]]+Fact_Table[[#This Row],[Diesel_Output_BPD]]+Fact_Table[[#This Row],[Gas_Output_BPD]])/Fact_Table[[#This Row],[No_of_Employees]]</f>
        <v>308.53656307129796</v>
      </c>
      <c r="P315" s="2" t="str">
        <f>IF(Fact_Table[[#This Row],[0/P Producyivity/Day]]&gt;=1000,"High",IF(Fact_Table[[#This Row],[0/P Producyivity/Day]]&gt;=500,"Medium","Low"))</f>
        <v>Low</v>
      </c>
      <c r="Q315" s="10">
        <f>Fact_Table[[#This Row],[Capacity_BPD]]/Fact_Table[[#This Row],[Average_Salary_AED]]</f>
        <v>39.450677886863019</v>
      </c>
      <c r="R315" s="15">
        <f>(Fact_Table[[#This Row],[Petrol_Output_BPD]]/Fact_Table[[#This Row],[Capacity_BPD]])</f>
        <v>0.38100373289091666</v>
      </c>
      <c r="S315" s="15">
        <f>Fact_Table[[#This Row],[Diesel_Output_BPD]]/Fact_Table[[#This Row],[Capacity_BPD]]</f>
        <v>0.41654026189488652</v>
      </c>
      <c r="T315" s="15">
        <f>Fact_Table[[#This Row],[Gas_Output_BPD]]/Fact_Table[[#This Row],[Capacity_BPD]]</f>
        <v>0.20245304260235825</v>
      </c>
      <c r="U315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15" s="8">
        <f ca="1">YEAR(TODAY())-Fact_Table[[#This Row],[Commissioned_Year]]</f>
        <v>19</v>
      </c>
      <c r="W315" s="40" cm="1">
        <f t="array" ref="W315">_xlfn.XLOOKUP(Fact_Table[[#This Row],[Commissioned_Year]],cost_table[[#All],[Year]],cost_table[[#All],[Average_Crude_Price_USD_per_Barrel]],"0")</f>
        <v>28.8</v>
      </c>
      <c r="X315" s="40">
        <f>Fact_Table[[#This Row],[Capacity_BPD]]*Fact_Table[[#This Row],[cost per barrel]]</f>
        <v>19442304</v>
      </c>
    </row>
    <row r="316" spans="1:24" x14ac:dyDescent="0.35">
      <c r="A316" t="s">
        <v>22</v>
      </c>
      <c r="B316" t="s">
        <v>40</v>
      </c>
      <c r="C316" t="s">
        <v>20</v>
      </c>
      <c r="D316" s="5">
        <v>129391</v>
      </c>
      <c r="E316" s="5">
        <v>2011</v>
      </c>
      <c r="F316" s="5">
        <v>494</v>
      </c>
      <c r="G316" s="3" t="s">
        <v>16</v>
      </c>
      <c r="H316" s="4">
        <v>15.84</v>
      </c>
      <c r="I316" s="4">
        <v>8</v>
      </c>
      <c r="J316" s="5">
        <v>53487</v>
      </c>
      <c r="K316" s="5">
        <v>45410</v>
      </c>
      <c r="L316" s="5">
        <v>30493</v>
      </c>
      <c r="M316" s="3" t="s">
        <v>23</v>
      </c>
      <c r="N316" s="10">
        <v>14921</v>
      </c>
      <c r="O316" s="12">
        <f>(Fact_Table[[#This Row],[Petrol_Output_BPD]]+Fact_Table[[#This Row],[Diesel_Output_BPD]]+Fact_Table[[#This Row],[Gas_Output_BPD]])/Fact_Table[[#This Row],[No_of_Employees]]</f>
        <v>261.92307692307691</v>
      </c>
      <c r="P316" s="2" t="str">
        <f>IF(Fact_Table[[#This Row],[0/P Producyivity/Day]]&gt;=1000,"High",IF(Fact_Table[[#This Row],[0/P Producyivity/Day]]&gt;=500,"Medium","Low"))</f>
        <v>Low</v>
      </c>
      <c r="Q316" s="10">
        <f>Fact_Table[[#This Row],[Capacity_BPD]]/Fact_Table[[#This Row],[Average_Salary_AED]]</f>
        <v>8.6717378191810202</v>
      </c>
      <c r="R316" s="15">
        <f>(Fact_Table[[#This Row],[Petrol_Output_BPD]]/Fact_Table[[#This Row],[Capacity_BPD]])</f>
        <v>0.41337496425562831</v>
      </c>
      <c r="S316" s="15">
        <f>Fact_Table[[#This Row],[Diesel_Output_BPD]]/Fact_Table[[#This Row],[Capacity_BPD]]</f>
        <v>0.35095176635160097</v>
      </c>
      <c r="T316" s="15">
        <f>Fact_Table[[#This Row],[Gas_Output_BPD]]/Fact_Table[[#This Row],[Capacity_BPD]]</f>
        <v>0.23566554087996847</v>
      </c>
      <c r="U316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16" s="8">
        <f ca="1">YEAR(TODAY())-Fact_Table[[#This Row],[Commissioned_Year]]</f>
        <v>14</v>
      </c>
      <c r="W316" s="40" cm="1">
        <f t="array" ref="W316">_xlfn.XLOOKUP(Fact_Table[[#This Row],[Commissioned_Year]],cost_table[[#All],[Year]],cost_table[[#All],[Average_Crude_Price_USD_per_Barrel]],"0")</f>
        <v>66.099999999999994</v>
      </c>
      <c r="X316" s="40">
        <f>Fact_Table[[#This Row],[Capacity_BPD]]*Fact_Table[[#This Row],[cost per barrel]]</f>
        <v>8552745.0999999996</v>
      </c>
    </row>
    <row r="317" spans="1:24" x14ac:dyDescent="0.35">
      <c r="A317" t="s">
        <v>24</v>
      </c>
      <c r="B317" t="s">
        <v>25</v>
      </c>
      <c r="C317" t="s">
        <v>20</v>
      </c>
      <c r="D317" s="5">
        <v>402820</v>
      </c>
      <c r="E317" s="5">
        <v>1980</v>
      </c>
      <c r="F317" s="5">
        <v>328</v>
      </c>
      <c r="G317" s="3" t="s">
        <v>21</v>
      </c>
      <c r="H317" s="4">
        <v>5.39</v>
      </c>
      <c r="I317" s="4">
        <v>7.34</v>
      </c>
      <c r="J317" s="5">
        <v>118154</v>
      </c>
      <c r="K317" s="5">
        <v>209994</v>
      </c>
      <c r="L317" s="5">
        <v>74670</v>
      </c>
      <c r="M317" s="3" t="s">
        <v>17</v>
      </c>
      <c r="N317" s="10">
        <v>15363</v>
      </c>
      <c r="O317" s="12">
        <f>(Fact_Table[[#This Row],[Petrol_Output_BPD]]+Fact_Table[[#This Row],[Diesel_Output_BPD]]+Fact_Table[[#This Row],[Gas_Output_BPD]])/Fact_Table[[#This Row],[No_of_Employees]]</f>
        <v>1228.1036585365853</v>
      </c>
      <c r="P317" s="2" t="str">
        <f>IF(Fact_Table[[#This Row],[0/P Producyivity/Day]]&gt;=1000,"High",IF(Fact_Table[[#This Row],[0/P Producyivity/Day]]&gt;=500,"Medium","Low"))</f>
        <v>High</v>
      </c>
      <c r="Q317" s="10">
        <f>Fact_Table[[#This Row],[Capacity_BPD]]/Fact_Table[[#This Row],[Average_Salary_AED]]</f>
        <v>26.220139295710474</v>
      </c>
      <c r="R317" s="15">
        <f>(Fact_Table[[#This Row],[Petrol_Output_BPD]]/Fact_Table[[#This Row],[Capacity_BPD]])</f>
        <v>0.2933171143438757</v>
      </c>
      <c r="S317" s="15">
        <f>Fact_Table[[#This Row],[Diesel_Output_BPD]]/Fact_Table[[#This Row],[Capacity_BPD]]</f>
        <v>0.52130976614865199</v>
      </c>
      <c r="T317" s="15">
        <f>Fact_Table[[#This Row],[Gas_Output_BPD]]/Fact_Table[[#This Row],[Capacity_BPD]]</f>
        <v>0.18536815451069957</v>
      </c>
      <c r="U317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17" s="8">
        <f ca="1">YEAR(TODAY())-Fact_Table[[#This Row],[Commissioned_Year]]</f>
        <v>45</v>
      </c>
      <c r="W317" s="40" cm="1">
        <f t="array" ref="W317">_xlfn.XLOOKUP(Fact_Table[[#This Row],[Commissioned_Year]],cost_table[[#All],[Year]],cost_table[[#All],[Average_Crude_Price_USD_per_Barrel]],"0")</f>
        <v>36.799999999999997</v>
      </c>
      <c r="X317" s="40">
        <f>Fact_Table[[#This Row],[Capacity_BPD]]*Fact_Table[[#This Row],[cost per barrel]]</f>
        <v>14823775.999999998</v>
      </c>
    </row>
    <row r="318" spans="1:24" x14ac:dyDescent="0.35">
      <c r="A318" t="s">
        <v>30</v>
      </c>
      <c r="B318" t="s">
        <v>25</v>
      </c>
      <c r="C318" t="s">
        <v>50</v>
      </c>
      <c r="D318" s="5">
        <v>834335</v>
      </c>
      <c r="E318" s="5">
        <v>1985</v>
      </c>
      <c r="F318" s="5">
        <v>1377</v>
      </c>
      <c r="G318" s="3" t="s">
        <v>31</v>
      </c>
      <c r="H318" s="4">
        <v>16.36</v>
      </c>
      <c r="I318" s="4">
        <v>9.9</v>
      </c>
      <c r="J318" s="5">
        <v>337425</v>
      </c>
      <c r="K318" s="5">
        <v>342060</v>
      </c>
      <c r="L318" s="5">
        <v>154849</v>
      </c>
      <c r="M318" s="3" t="s">
        <v>38</v>
      </c>
      <c r="N318" s="10">
        <v>9855</v>
      </c>
      <c r="O318" s="12">
        <f>(Fact_Table[[#This Row],[Petrol_Output_BPD]]+Fact_Table[[#This Row],[Diesel_Output_BPD]]+Fact_Table[[#This Row],[Gas_Output_BPD]])/Fact_Table[[#This Row],[No_of_Employees]]</f>
        <v>605.90704429920117</v>
      </c>
      <c r="P318" s="2" t="str">
        <f>IF(Fact_Table[[#This Row],[0/P Producyivity/Day]]&gt;=1000,"High",IF(Fact_Table[[#This Row],[0/P Producyivity/Day]]&gt;=500,"Medium","Low"))</f>
        <v>Medium</v>
      </c>
      <c r="Q318" s="10">
        <f>Fact_Table[[#This Row],[Capacity_BPD]]/Fact_Table[[#This Row],[Average_Salary_AED]]</f>
        <v>84.661085743277525</v>
      </c>
      <c r="R318" s="15">
        <f>(Fact_Table[[#This Row],[Petrol_Output_BPD]]/Fact_Table[[#This Row],[Capacity_BPD]])</f>
        <v>0.40442388249324313</v>
      </c>
      <c r="S318" s="15">
        <f>Fact_Table[[#This Row],[Diesel_Output_BPD]]/Fact_Table[[#This Row],[Capacity_BPD]]</f>
        <v>0.40997920499559531</v>
      </c>
      <c r="T318" s="15">
        <f>Fact_Table[[#This Row],[Gas_Output_BPD]]/Fact_Table[[#This Row],[Capacity_BPD]]</f>
        <v>0.18559571395182989</v>
      </c>
      <c r="U318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18" s="8">
        <f ca="1">YEAR(TODAY())-Fact_Table[[#This Row],[Commissioned_Year]]</f>
        <v>40</v>
      </c>
      <c r="W318" s="40" cm="1">
        <f t="array" ref="W318">_xlfn.XLOOKUP(Fact_Table[[#This Row],[Commissioned_Year]],cost_table[[#All],[Year]],cost_table[[#All],[Average_Crude_Price_USD_per_Barrel]],"0")</f>
        <v>26</v>
      </c>
      <c r="X318" s="40">
        <f>Fact_Table[[#This Row],[Capacity_BPD]]*Fact_Table[[#This Row],[cost per barrel]]</f>
        <v>21692710</v>
      </c>
    </row>
    <row r="319" spans="1:24" x14ac:dyDescent="0.35">
      <c r="A319" t="s">
        <v>36</v>
      </c>
      <c r="B319" t="s">
        <v>40</v>
      </c>
      <c r="C319" t="s">
        <v>48</v>
      </c>
      <c r="D319" s="5">
        <v>743264</v>
      </c>
      <c r="E319" s="5">
        <v>2008</v>
      </c>
      <c r="F319" s="5">
        <v>969</v>
      </c>
      <c r="G319" s="3" t="s">
        <v>31</v>
      </c>
      <c r="H319" s="4">
        <v>17.03</v>
      </c>
      <c r="I319" s="4">
        <v>7.18</v>
      </c>
      <c r="J319" s="5">
        <v>274492</v>
      </c>
      <c r="K319" s="5">
        <v>376720</v>
      </c>
      <c r="L319" s="5">
        <v>92050</v>
      </c>
      <c r="M319" s="3" t="s">
        <v>17</v>
      </c>
      <c r="N319" s="10">
        <v>22909</v>
      </c>
      <c r="O319" s="12">
        <f>(Fact_Table[[#This Row],[Petrol_Output_BPD]]+Fact_Table[[#This Row],[Diesel_Output_BPD]]+Fact_Table[[#This Row],[Gas_Output_BPD]])/Fact_Table[[#This Row],[No_of_Employees]]</f>
        <v>767.04024767801855</v>
      </c>
      <c r="P319" s="2" t="str">
        <f>IF(Fact_Table[[#This Row],[0/P Producyivity/Day]]&gt;=1000,"High",IF(Fact_Table[[#This Row],[0/P Producyivity/Day]]&gt;=500,"Medium","Low"))</f>
        <v>Medium</v>
      </c>
      <c r="Q319" s="10">
        <f>Fact_Table[[#This Row],[Capacity_BPD]]/Fact_Table[[#This Row],[Average_Salary_AED]]</f>
        <v>32.444192238858093</v>
      </c>
      <c r="R319" s="15">
        <f>(Fact_Table[[#This Row],[Petrol_Output_BPD]]/Fact_Table[[#This Row],[Capacity_BPD]])</f>
        <v>0.36930619537607096</v>
      </c>
      <c r="S319" s="15">
        <f>Fact_Table[[#This Row],[Diesel_Output_BPD]]/Fact_Table[[#This Row],[Capacity_BPD]]</f>
        <v>0.50684548155164244</v>
      </c>
      <c r="T319" s="15">
        <f>Fact_Table[[#This Row],[Gas_Output_BPD]]/Fact_Table[[#This Row],[Capacity_BPD]]</f>
        <v>0.1238456322383433</v>
      </c>
      <c r="U319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19" s="8">
        <f ca="1">YEAR(TODAY())-Fact_Table[[#This Row],[Commissioned_Year]]</f>
        <v>17</v>
      </c>
      <c r="W319" s="40" cm="1">
        <f t="array" ref="W319">_xlfn.XLOOKUP(Fact_Table[[#This Row],[Commissioned_Year]],cost_table[[#All],[Year]],cost_table[[#All],[Average_Crude_Price_USD_per_Barrel]],"0")</f>
        <v>31</v>
      </c>
      <c r="X319" s="40">
        <f>Fact_Table[[#This Row],[Capacity_BPD]]*Fact_Table[[#This Row],[cost per barrel]]</f>
        <v>23041184</v>
      </c>
    </row>
    <row r="320" spans="1:24" x14ac:dyDescent="0.35">
      <c r="A320" t="s">
        <v>35</v>
      </c>
      <c r="B320" t="s">
        <v>19</v>
      </c>
      <c r="C320" t="s">
        <v>47</v>
      </c>
      <c r="D320" s="5">
        <v>116902</v>
      </c>
      <c r="E320" s="5">
        <v>1978</v>
      </c>
      <c r="F320" s="5">
        <v>2331</v>
      </c>
      <c r="G320" s="3" t="s">
        <v>16</v>
      </c>
      <c r="H320" s="4">
        <v>24.54</v>
      </c>
      <c r="I320" s="4">
        <v>5.38</v>
      </c>
      <c r="J320" s="5">
        <v>46798</v>
      </c>
      <c r="K320" s="5">
        <v>55817</v>
      </c>
      <c r="L320" s="5">
        <v>14286</v>
      </c>
      <c r="M320" s="3" t="s">
        <v>29</v>
      </c>
      <c r="N320" s="10">
        <v>14005</v>
      </c>
      <c r="O320" s="12">
        <f>(Fact_Table[[#This Row],[Petrol_Output_BPD]]+Fact_Table[[#This Row],[Diesel_Output_BPD]]+Fact_Table[[#This Row],[Gas_Output_BPD]])/Fact_Table[[#This Row],[No_of_Employees]]</f>
        <v>50.150579150579148</v>
      </c>
      <c r="P320" s="2" t="str">
        <f>IF(Fact_Table[[#This Row],[0/P Producyivity/Day]]&gt;=1000,"High",IF(Fact_Table[[#This Row],[0/P Producyivity/Day]]&gt;=500,"Medium","Low"))</f>
        <v>Low</v>
      </c>
      <c r="Q320" s="10">
        <f>Fact_Table[[#This Row],[Capacity_BPD]]/Fact_Table[[#This Row],[Average_Salary_AED]]</f>
        <v>8.3471617279543029</v>
      </c>
      <c r="R320" s="15">
        <f>(Fact_Table[[#This Row],[Petrol_Output_BPD]]/Fact_Table[[#This Row],[Capacity_BPD]])</f>
        <v>0.400318215257224</v>
      </c>
      <c r="S320" s="15">
        <f>Fact_Table[[#This Row],[Diesel_Output_BPD]]/Fact_Table[[#This Row],[Capacity_BPD]]</f>
        <v>0.47746830678688135</v>
      </c>
      <c r="T320" s="15">
        <f>Fact_Table[[#This Row],[Gas_Output_BPD]]/Fact_Table[[#This Row],[Capacity_BPD]]</f>
        <v>0.12220492378231339</v>
      </c>
      <c r="U320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20" s="8">
        <f ca="1">YEAR(TODAY())-Fact_Table[[#This Row],[Commissioned_Year]]</f>
        <v>47</v>
      </c>
      <c r="W320" s="40" cm="1">
        <f t="array" ref="W320">_xlfn.XLOOKUP(Fact_Table[[#This Row],[Commissioned_Year]],cost_table[[#All],[Year]],cost_table[[#All],[Average_Crude_Price_USD_per_Barrel]],"0")</f>
        <v>13</v>
      </c>
      <c r="X320" s="40">
        <f>Fact_Table[[#This Row],[Capacity_BPD]]*Fact_Table[[#This Row],[cost per barrel]]</f>
        <v>1519726</v>
      </c>
    </row>
    <row r="321" spans="1:24" x14ac:dyDescent="0.35">
      <c r="A321" t="s">
        <v>37</v>
      </c>
      <c r="B321" t="s">
        <v>25</v>
      </c>
      <c r="C321" t="s">
        <v>15</v>
      </c>
      <c r="D321" s="5">
        <v>476302</v>
      </c>
      <c r="E321" s="5">
        <v>2008</v>
      </c>
      <c r="F321" s="5">
        <v>1144</v>
      </c>
      <c r="G321" s="3" t="s">
        <v>16</v>
      </c>
      <c r="H321" s="4">
        <v>26.42</v>
      </c>
      <c r="I321" s="4">
        <v>6.94</v>
      </c>
      <c r="J321" s="5">
        <v>138563</v>
      </c>
      <c r="K321" s="5">
        <v>225542</v>
      </c>
      <c r="L321" s="5">
        <v>112196</v>
      </c>
      <c r="M321" s="3" t="s">
        <v>34</v>
      </c>
      <c r="N321" s="10">
        <v>19499</v>
      </c>
      <c r="O321" s="12">
        <f>(Fact_Table[[#This Row],[Petrol_Output_BPD]]+Fact_Table[[#This Row],[Diesel_Output_BPD]]+Fact_Table[[#This Row],[Gas_Output_BPD]])/Fact_Table[[#This Row],[No_of_Employees]]</f>
        <v>416.34702797202794</v>
      </c>
      <c r="P321" s="2" t="str">
        <f>IF(Fact_Table[[#This Row],[0/P Producyivity/Day]]&gt;=1000,"High",IF(Fact_Table[[#This Row],[0/P Producyivity/Day]]&gt;=500,"Medium","Low"))</f>
        <v>Low</v>
      </c>
      <c r="Q321" s="10">
        <f>Fact_Table[[#This Row],[Capacity_BPD]]/Fact_Table[[#This Row],[Average_Salary_AED]]</f>
        <v>24.426996256218267</v>
      </c>
      <c r="R321" s="15">
        <f>(Fact_Table[[#This Row],[Petrol_Output_BPD]]/Fact_Table[[#This Row],[Capacity_BPD]])</f>
        <v>0.29091416790187741</v>
      </c>
      <c r="S321" s="15">
        <f>Fact_Table[[#This Row],[Diesel_Output_BPD]]/Fact_Table[[#This Row],[Capacity_BPD]]</f>
        <v>0.47352729990636194</v>
      </c>
      <c r="T321" s="15">
        <f>Fact_Table[[#This Row],[Gas_Output_BPD]]/Fact_Table[[#This Row],[Capacity_BPD]]</f>
        <v>0.23555643268346554</v>
      </c>
      <c r="U32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21" s="8">
        <f ca="1">YEAR(TODAY())-Fact_Table[[#This Row],[Commissioned_Year]]</f>
        <v>17</v>
      </c>
      <c r="W321" s="40" cm="1">
        <f t="array" ref="W321">_xlfn.XLOOKUP(Fact_Table[[#This Row],[Commissioned_Year]],cost_table[[#All],[Year]],cost_table[[#All],[Average_Crude_Price_USD_per_Barrel]],"0")</f>
        <v>31</v>
      </c>
      <c r="X321" s="40">
        <f>Fact_Table[[#This Row],[Capacity_BPD]]*Fact_Table[[#This Row],[cost per barrel]]</f>
        <v>14765362</v>
      </c>
    </row>
    <row r="322" spans="1:24" x14ac:dyDescent="0.35">
      <c r="A322" t="s">
        <v>18</v>
      </c>
      <c r="B322" t="s">
        <v>14</v>
      </c>
      <c r="C322" t="s">
        <v>50</v>
      </c>
      <c r="D322" s="5">
        <v>642236</v>
      </c>
      <c r="E322" s="5">
        <v>2013</v>
      </c>
      <c r="F322" s="5">
        <v>1017</v>
      </c>
      <c r="G322" s="3" t="s">
        <v>28</v>
      </c>
      <c r="H322" s="4">
        <v>34.770000000000003</v>
      </c>
      <c r="I322" s="4">
        <v>9.5299999999999994</v>
      </c>
      <c r="J322" s="5">
        <v>255757</v>
      </c>
      <c r="K322" s="5">
        <v>258469</v>
      </c>
      <c r="L322" s="5">
        <v>128009</v>
      </c>
      <c r="M322" s="3" t="s">
        <v>17</v>
      </c>
      <c r="N322" s="10">
        <v>13745</v>
      </c>
      <c r="O322" s="12">
        <f>(Fact_Table[[#This Row],[Petrol_Output_BPD]]+Fact_Table[[#This Row],[Diesel_Output_BPD]]+Fact_Table[[#This Row],[Gas_Output_BPD]])/Fact_Table[[#This Row],[No_of_Employees]]</f>
        <v>631.49950835791549</v>
      </c>
      <c r="P322" s="2" t="str">
        <f>IF(Fact_Table[[#This Row],[0/P Producyivity/Day]]&gt;=1000,"High",IF(Fact_Table[[#This Row],[0/P Producyivity/Day]]&gt;=500,"Medium","Low"))</f>
        <v>Medium</v>
      </c>
      <c r="Q322" s="10">
        <f>Fact_Table[[#This Row],[Capacity_BPD]]/Fact_Table[[#This Row],[Average_Salary_AED]]</f>
        <v>46.72506365951255</v>
      </c>
      <c r="R322" s="15">
        <f>(Fact_Table[[#This Row],[Petrol_Output_BPD]]/Fact_Table[[#This Row],[Capacity_BPD]])</f>
        <v>0.39822899993148936</v>
      </c>
      <c r="S322" s="15">
        <f>Fact_Table[[#This Row],[Diesel_Output_BPD]]/Fact_Table[[#This Row],[Capacity_BPD]]</f>
        <v>0.40245174670993217</v>
      </c>
      <c r="T322" s="15">
        <f>Fact_Table[[#This Row],[Gas_Output_BPD]]/Fact_Table[[#This Row],[Capacity_BPD]]</f>
        <v>0.19931769629855692</v>
      </c>
      <c r="U322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22" s="8">
        <f ca="1">YEAR(TODAY())-Fact_Table[[#This Row],[Commissioned_Year]]</f>
        <v>12</v>
      </c>
      <c r="W322" s="40" cm="1">
        <f t="array" ref="W322">_xlfn.XLOOKUP(Fact_Table[[#This Row],[Commissioned_Year]],cost_table[[#All],[Year]],cost_table[[#All],[Average_Crude_Price_USD_per_Barrel]],"0")</f>
        <v>97.3</v>
      </c>
      <c r="X322" s="40">
        <f>Fact_Table[[#This Row],[Capacity_BPD]]*Fact_Table[[#This Row],[cost per barrel]]</f>
        <v>62489562.799999997</v>
      </c>
    </row>
    <row r="323" spans="1:24" x14ac:dyDescent="0.35">
      <c r="A323" t="s">
        <v>60</v>
      </c>
      <c r="B323" t="s">
        <v>32</v>
      </c>
      <c r="C323" t="s">
        <v>51</v>
      </c>
      <c r="D323" s="5">
        <v>763799</v>
      </c>
      <c r="E323" s="5">
        <v>2002</v>
      </c>
      <c r="F323" s="5">
        <v>1099</v>
      </c>
      <c r="G323" s="3" t="s">
        <v>16</v>
      </c>
      <c r="H323" s="4">
        <v>7.98</v>
      </c>
      <c r="I323" s="4">
        <v>8.6199999999999992</v>
      </c>
      <c r="J323" s="5">
        <v>298881</v>
      </c>
      <c r="K323" s="5">
        <v>307948</v>
      </c>
      <c r="L323" s="5">
        <v>156968</v>
      </c>
      <c r="M323" s="3" t="s">
        <v>17</v>
      </c>
      <c r="N323" s="10">
        <v>11435</v>
      </c>
      <c r="O323" s="12">
        <f>(Fact_Table[[#This Row],[Petrol_Output_BPD]]+Fact_Table[[#This Row],[Diesel_Output_BPD]]+Fact_Table[[#This Row],[Gas_Output_BPD]])/Fact_Table[[#This Row],[No_of_Employees]]</f>
        <v>694.99272065514106</v>
      </c>
      <c r="P323" s="2" t="str">
        <f>IF(Fact_Table[[#This Row],[0/P Producyivity/Day]]&gt;=1000,"High",IF(Fact_Table[[#This Row],[0/P Producyivity/Day]]&gt;=500,"Medium","Low"))</f>
        <v>Medium</v>
      </c>
      <c r="Q323" s="10">
        <f>Fact_Table[[#This Row],[Capacity_BPD]]/Fact_Table[[#This Row],[Average_Salary_AED]]</f>
        <v>66.794840402273721</v>
      </c>
      <c r="R323" s="15">
        <f>(Fact_Table[[#This Row],[Petrol_Output_BPD]]/Fact_Table[[#This Row],[Capacity_BPD]])</f>
        <v>0.39130844633208473</v>
      </c>
      <c r="S323" s="15">
        <f>Fact_Table[[#This Row],[Diesel_Output_BPD]]/Fact_Table[[#This Row],[Capacity_BPD]]</f>
        <v>0.40317937048883279</v>
      </c>
      <c r="T323" s="15">
        <f>Fact_Table[[#This Row],[Gas_Output_BPD]]/Fact_Table[[#This Row],[Capacity_BPD]]</f>
        <v>0.20550956468913942</v>
      </c>
      <c r="U323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23" s="8">
        <f ca="1">YEAR(TODAY())-Fact_Table[[#This Row],[Commissioned_Year]]</f>
        <v>23</v>
      </c>
      <c r="W323" s="40" cm="1">
        <f t="array" ref="W323">_xlfn.XLOOKUP(Fact_Table[[#This Row],[Commissioned_Year]],cost_table[[#All],[Year]],cost_table[[#All],[Average_Crude_Price_USD_per_Barrel]],"0")</f>
        <v>24.4</v>
      </c>
      <c r="X323" s="40">
        <f>Fact_Table[[#This Row],[Capacity_BPD]]*Fact_Table[[#This Row],[cost per barrel]]</f>
        <v>18636695.599999998</v>
      </c>
    </row>
    <row r="324" spans="1:24" x14ac:dyDescent="0.35">
      <c r="A324" t="s">
        <v>24</v>
      </c>
      <c r="B324" t="s">
        <v>25</v>
      </c>
      <c r="C324" t="s">
        <v>48</v>
      </c>
      <c r="D324" s="5">
        <v>396320</v>
      </c>
      <c r="E324" s="5">
        <v>1979</v>
      </c>
      <c r="F324" s="5">
        <v>344</v>
      </c>
      <c r="G324" s="3" t="s">
        <v>16</v>
      </c>
      <c r="H324" s="4">
        <v>10.02</v>
      </c>
      <c r="I324" s="4">
        <v>9.24</v>
      </c>
      <c r="J324" s="5">
        <v>168049</v>
      </c>
      <c r="K324" s="5">
        <v>158161</v>
      </c>
      <c r="L324" s="5">
        <v>70108</v>
      </c>
      <c r="M324" s="3" t="s">
        <v>29</v>
      </c>
      <c r="N324" s="10">
        <v>9763</v>
      </c>
      <c r="O324" s="12">
        <f>(Fact_Table[[#This Row],[Petrol_Output_BPD]]+Fact_Table[[#This Row],[Diesel_Output_BPD]]+Fact_Table[[#This Row],[Gas_Output_BPD]])/Fact_Table[[#This Row],[No_of_Employees]]</f>
        <v>1152.0872093023256</v>
      </c>
      <c r="P324" s="2" t="str">
        <f>IF(Fact_Table[[#This Row],[0/P Producyivity/Day]]&gt;=1000,"High",IF(Fact_Table[[#This Row],[0/P Producyivity/Day]]&gt;=500,"Medium","Low"))</f>
        <v>High</v>
      </c>
      <c r="Q324" s="10">
        <f>Fact_Table[[#This Row],[Capacity_BPD]]/Fact_Table[[#This Row],[Average_Salary_AED]]</f>
        <v>40.594079688620305</v>
      </c>
      <c r="R324" s="15">
        <f>(Fact_Table[[#This Row],[Petrol_Output_BPD]]/Fact_Table[[#This Row],[Capacity_BPD]])</f>
        <v>0.4240235163504239</v>
      </c>
      <c r="S324" s="15">
        <f>Fact_Table[[#This Row],[Diesel_Output_BPD]]/Fact_Table[[#This Row],[Capacity_BPD]]</f>
        <v>0.39907398062171984</v>
      </c>
      <c r="T324" s="15">
        <f>Fact_Table[[#This Row],[Gas_Output_BPD]]/Fact_Table[[#This Row],[Capacity_BPD]]</f>
        <v>0.1768974566007267</v>
      </c>
      <c r="U324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24" s="8">
        <f ca="1">YEAR(TODAY())-Fact_Table[[#This Row],[Commissioned_Year]]</f>
        <v>46</v>
      </c>
      <c r="W324" s="40" cm="1">
        <f t="array" ref="W324">_xlfn.XLOOKUP(Fact_Table[[#This Row],[Commissioned_Year]],cost_table[[#All],[Year]],cost_table[[#All],[Average_Crude_Price_USD_per_Barrel]],"0")</f>
        <v>31.6</v>
      </c>
      <c r="X324" s="40">
        <f>Fact_Table[[#This Row],[Capacity_BPD]]*Fact_Table[[#This Row],[cost per barrel]]</f>
        <v>12523712</v>
      </c>
    </row>
    <row r="325" spans="1:24" x14ac:dyDescent="0.35">
      <c r="A325" t="s">
        <v>22</v>
      </c>
      <c r="B325" t="s">
        <v>25</v>
      </c>
      <c r="C325" t="s">
        <v>20</v>
      </c>
      <c r="D325" s="5">
        <v>325294</v>
      </c>
      <c r="E325" s="5">
        <v>2023</v>
      </c>
      <c r="F325" s="5">
        <v>2346</v>
      </c>
      <c r="G325" s="3" t="s">
        <v>16</v>
      </c>
      <c r="H325" s="4">
        <v>8.8000000000000007</v>
      </c>
      <c r="I325" s="4">
        <v>6.43</v>
      </c>
      <c r="J325" s="5">
        <v>124680</v>
      </c>
      <c r="K325" s="5">
        <v>114748</v>
      </c>
      <c r="L325" s="5">
        <v>85865</v>
      </c>
      <c r="M325" s="3" t="s">
        <v>34</v>
      </c>
      <c r="N325" s="10">
        <v>18128</v>
      </c>
      <c r="O325" s="12">
        <f>(Fact_Table[[#This Row],[Petrol_Output_BPD]]+Fact_Table[[#This Row],[Diesel_Output_BPD]]+Fact_Table[[#This Row],[Gas_Output_BPD]])/Fact_Table[[#This Row],[No_of_Employees]]</f>
        <v>138.65856777493607</v>
      </c>
      <c r="P325" s="2" t="str">
        <f>IF(Fact_Table[[#This Row],[0/P Producyivity/Day]]&gt;=1000,"High",IF(Fact_Table[[#This Row],[0/P Producyivity/Day]]&gt;=500,"Medium","Low"))</f>
        <v>Low</v>
      </c>
      <c r="Q325" s="10">
        <f>Fact_Table[[#This Row],[Capacity_BPD]]/Fact_Table[[#This Row],[Average_Salary_AED]]</f>
        <v>17.94428508384819</v>
      </c>
      <c r="R325" s="15">
        <f>(Fact_Table[[#This Row],[Petrol_Output_BPD]]/Fact_Table[[#This Row],[Capacity_BPD]])</f>
        <v>0.38328404458735787</v>
      </c>
      <c r="S325" s="15">
        <f>Fact_Table[[#This Row],[Diesel_Output_BPD]]/Fact_Table[[#This Row],[Capacity_BPD]]</f>
        <v>0.35275166464797997</v>
      </c>
      <c r="T325" s="15">
        <f>Fact_Table[[#This Row],[Gas_Output_BPD]]/Fact_Table[[#This Row],[Capacity_BPD]]</f>
        <v>0.26396121662250149</v>
      </c>
      <c r="U325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25" s="8">
        <f ca="1">YEAR(TODAY())-Fact_Table[[#This Row],[Commissioned_Year]]</f>
        <v>2</v>
      </c>
      <c r="W325" s="40" cm="1">
        <f t="array" ref="W325">_xlfn.XLOOKUP(Fact_Table[[#This Row],[Commissioned_Year]],cost_table[[#All],[Year]],cost_table[[#All],[Average_Crude_Price_USD_per_Barrel]],"0")</f>
        <v>64.3</v>
      </c>
      <c r="X325" s="40">
        <f>Fact_Table[[#This Row],[Capacity_BPD]]*Fact_Table[[#This Row],[cost per barrel]]</f>
        <v>20916404.199999999</v>
      </c>
    </row>
    <row r="326" spans="1:24" x14ac:dyDescent="0.35">
      <c r="A326" t="s">
        <v>36</v>
      </c>
      <c r="B326" t="s">
        <v>41</v>
      </c>
      <c r="C326" t="s">
        <v>49</v>
      </c>
      <c r="D326" s="5">
        <v>595330</v>
      </c>
      <c r="E326" s="5">
        <v>1990</v>
      </c>
      <c r="F326" s="5">
        <v>2089</v>
      </c>
      <c r="G326" s="3" t="s">
        <v>16</v>
      </c>
      <c r="H326" s="4">
        <v>7.01</v>
      </c>
      <c r="I326" s="4">
        <v>7.27</v>
      </c>
      <c r="J326" s="5">
        <v>280308</v>
      </c>
      <c r="K326" s="5">
        <v>205803</v>
      </c>
      <c r="L326" s="5">
        <v>109218</v>
      </c>
      <c r="M326" s="3" t="s">
        <v>34</v>
      </c>
      <c r="N326" s="10">
        <v>22793</v>
      </c>
      <c r="O326" s="12">
        <f>(Fact_Table[[#This Row],[Petrol_Output_BPD]]+Fact_Table[[#This Row],[Diesel_Output_BPD]]+Fact_Table[[#This Row],[Gas_Output_BPD]])/Fact_Table[[#This Row],[No_of_Employees]]</f>
        <v>284.98276687410242</v>
      </c>
      <c r="P326" s="2" t="str">
        <f>IF(Fact_Table[[#This Row],[0/P Producyivity/Day]]&gt;=1000,"High",IF(Fact_Table[[#This Row],[0/P Producyivity/Day]]&gt;=500,"Medium","Low"))</f>
        <v>Low</v>
      </c>
      <c r="Q326" s="10">
        <f>Fact_Table[[#This Row],[Capacity_BPD]]/Fact_Table[[#This Row],[Average_Salary_AED]]</f>
        <v>26.11898389856535</v>
      </c>
      <c r="R326" s="15">
        <f>(Fact_Table[[#This Row],[Petrol_Output_BPD]]/Fact_Table[[#This Row],[Capacity_BPD]])</f>
        <v>0.47084474157190132</v>
      </c>
      <c r="S326" s="15">
        <f>Fact_Table[[#This Row],[Diesel_Output_BPD]]/Fact_Table[[#This Row],[Capacity_BPD]]</f>
        <v>0.34569566458938739</v>
      </c>
      <c r="T326" s="15">
        <f>Fact_Table[[#This Row],[Gas_Output_BPD]]/Fact_Table[[#This Row],[Capacity_BPD]]</f>
        <v>0.18345791409806325</v>
      </c>
      <c r="U32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26" s="8">
        <f ca="1">YEAR(TODAY())-Fact_Table[[#This Row],[Commissioned_Year]]</f>
        <v>35</v>
      </c>
      <c r="W326" s="40" cm="1">
        <f t="array" ref="W326">_xlfn.XLOOKUP(Fact_Table[[#This Row],[Commissioned_Year]],cost_table[[#All],[Year]],cost_table[[#All],[Average_Crude_Price_USD_per_Barrel]],"0")</f>
        <v>22.3</v>
      </c>
      <c r="X326" s="40">
        <f>Fact_Table[[#This Row],[Capacity_BPD]]*Fact_Table[[#This Row],[cost per barrel]]</f>
        <v>13275859</v>
      </c>
    </row>
    <row r="327" spans="1:24" x14ac:dyDescent="0.35">
      <c r="A327" t="s">
        <v>45</v>
      </c>
      <c r="B327" t="s">
        <v>32</v>
      </c>
      <c r="C327" t="s">
        <v>15</v>
      </c>
      <c r="D327" s="5">
        <v>539162</v>
      </c>
      <c r="E327" s="5">
        <v>2003</v>
      </c>
      <c r="F327" s="5">
        <v>2371</v>
      </c>
      <c r="G327" s="3" t="s">
        <v>21</v>
      </c>
      <c r="H327" s="4">
        <v>11.75</v>
      </c>
      <c r="I327" s="4">
        <v>9.7899999999999991</v>
      </c>
      <c r="J327" s="5">
        <v>218248</v>
      </c>
      <c r="K327" s="5">
        <v>187678</v>
      </c>
      <c r="L327" s="5">
        <v>133235</v>
      </c>
      <c r="M327" s="3" t="s">
        <v>17</v>
      </c>
      <c r="N327" s="10">
        <v>15363</v>
      </c>
      <c r="O327" s="12">
        <f>(Fact_Table[[#This Row],[Petrol_Output_BPD]]+Fact_Table[[#This Row],[Diesel_Output_BPD]]+Fact_Table[[#This Row],[Gas_Output_BPD]])/Fact_Table[[#This Row],[No_of_Employees]]</f>
        <v>227.39814424293547</v>
      </c>
      <c r="P327" s="2" t="str">
        <f>IF(Fact_Table[[#This Row],[0/P Producyivity/Day]]&gt;=1000,"High",IF(Fact_Table[[#This Row],[0/P Producyivity/Day]]&gt;=500,"Medium","Low"))</f>
        <v>Low</v>
      </c>
      <c r="Q327" s="10">
        <f>Fact_Table[[#This Row],[Capacity_BPD]]/Fact_Table[[#This Row],[Average_Salary_AED]]</f>
        <v>35.094838247738075</v>
      </c>
      <c r="R327" s="15">
        <f>(Fact_Table[[#This Row],[Petrol_Output_BPD]]/Fact_Table[[#This Row],[Capacity_BPD]])</f>
        <v>0.40479113884138718</v>
      </c>
      <c r="S327" s="15">
        <f>Fact_Table[[#This Row],[Diesel_Output_BPD]]/Fact_Table[[#This Row],[Capacity_BPD]]</f>
        <v>0.34809203912738657</v>
      </c>
      <c r="T327" s="15">
        <f>Fact_Table[[#This Row],[Gas_Output_BPD]]/Fact_Table[[#This Row],[Capacity_BPD]]</f>
        <v>0.24711496730110802</v>
      </c>
      <c r="U327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27" s="8">
        <f ca="1">YEAR(TODAY())-Fact_Table[[#This Row],[Commissioned_Year]]</f>
        <v>22</v>
      </c>
      <c r="W327" s="40" cm="1">
        <f t="array" ref="W327">_xlfn.XLOOKUP(Fact_Table[[#This Row],[Commissioned_Year]],cost_table[[#All],[Year]],cost_table[[#All],[Average_Crude_Price_USD_per_Barrel]],"0")</f>
        <v>17.2</v>
      </c>
      <c r="X327" s="40">
        <f>Fact_Table[[#This Row],[Capacity_BPD]]*Fact_Table[[#This Row],[cost per barrel]]</f>
        <v>9273586.4000000004</v>
      </c>
    </row>
    <row r="328" spans="1:24" x14ac:dyDescent="0.35">
      <c r="A328" t="s">
        <v>24</v>
      </c>
      <c r="B328" t="s">
        <v>19</v>
      </c>
      <c r="C328" t="s">
        <v>48</v>
      </c>
      <c r="D328" s="5">
        <v>211717</v>
      </c>
      <c r="E328" s="5">
        <v>1980</v>
      </c>
      <c r="F328" s="5">
        <v>860</v>
      </c>
      <c r="G328" s="3" t="s">
        <v>16</v>
      </c>
      <c r="H328" s="4">
        <v>29.23</v>
      </c>
      <c r="I328" s="4">
        <v>5.0199999999999996</v>
      </c>
      <c r="J328" s="5">
        <v>79751</v>
      </c>
      <c r="K328" s="5">
        <v>85617</v>
      </c>
      <c r="L328" s="5">
        <v>46347</v>
      </c>
      <c r="M328" s="3" t="s">
        <v>23</v>
      </c>
      <c r="N328" s="10">
        <v>14022</v>
      </c>
      <c r="O328" s="12">
        <f>(Fact_Table[[#This Row],[Petrol_Output_BPD]]+Fact_Table[[#This Row],[Diesel_Output_BPD]]+Fact_Table[[#This Row],[Gas_Output_BPD]])/Fact_Table[[#This Row],[No_of_Employees]]</f>
        <v>246.18023255813952</v>
      </c>
      <c r="P328" s="2" t="str">
        <f>IF(Fact_Table[[#This Row],[0/P Producyivity/Day]]&gt;=1000,"High",IF(Fact_Table[[#This Row],[0/P Producyivity/Day]]&gt;=500,"Medium","Low"))</f>
        <v>Low</v>
      </c>
      <c r="Q328" s="10">
        <f>Fact_Table[[#This Row],[Capacity_BPD]]/Fact_Table[[#This Row],[Average_Salary_AED]]</f>
        <v>15.098915989159892</v>
      </c>
      <c r="R328" s="15">
        <f>(Fact_Table[[#This Row],[Petrol_Output_BPD]]/Fact_Table[[#This Row],[Capacity_BPD]])</f>
        <v>0.37668680361048001</v>
      </c>
      <c r="S328" s="15">
        <f>Fact_Table[[#This Row],[Diesel_Output_BPD]]/Fact_Table[[#This Row],[Capacity_BPD]]</f>
        <v>0.40439360089175647</v>
      </c>
      <c r="T328" s="15">
        <f>Fact_Table[[#This Row],[Gas_Output_BPD]]/Fact_Table[[#This Row],[Capacity_BPD]]</f>
        <v>0.21891014892521621</v>
      </c>
      <c r="U32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28" s="8">
        <f ca="1">YEAR(TODAY())-Fact_Table[[#This Row],[Commissioned_Year]]</f>
        <v>45</v>
      </c>
      <c r="W328" s="40" cm="1">
        <f t="array" ref="W328">_xlfn.XLOOKUP(Fact_Table[[#This Row],[Commissioned_Year]],cost_table[[#All],[Year]],cost_table[[#All],[Average_Crude_Price_USD_per_Barrel]],"0")</f>
        <v>36.799999999999997</v>
      </c>
      <c r="X328" s="40">
        <f>Fact_Table[[#This Row],[Capacity_BPD]]*Fact_Table[[#This Row],[cost per barrel]]</f>
        <v>7791185.5999999996</v>
      </c>
    </row>
    <row r="329" spans="1:24" x14ac:dyDescent="0.35">
      <c r="A329" t="s">
        <v>24</v>
      </c>
      <c r="B329" t="s">
        <v>32</v>
      </c>
      <c r="C329" t="s">
        <v>48</v>
      </c>
      <c r="D329" s="5">
        <v>282167</v>
      </c>
      <c r="E329" s="5">
        <v>1996</v>
      </c>
      <c r="F329" s="5">
        <v>1136</v>
      </c>
      <c r="G329" s="3" t="s">
        <v>31</v>
      </c>
      <c r="H329" s="4">
        <v>23.36</v>
      </c>
      <c r="I329" s="4">
        <v>6.89</v>
      </c>
      <c r="J329" s="5">
        <v>101709</v>
      </c>
      <c r="K329" s="5">
        <v>136793</v>
      </c>
      <c r="L329" s="5">
        <v>43663</v>
      </c>
      <c r="M329" s="3" t="s">
        <v>34</v>
      </c>
      <c r="N329" s="10">
        <v>18874</v>
      </c>
      <c r="O329" s="12">
        <f>(Fact_Table[[#This Row],[Petrol_Output_BPD]]+Fact_Table[[#This Row],[Diesel_Output_BPD]]+Fact_Table[[#This Row],[Gas_Output_BPD]])/Fact_Table[[#This Row],[No_of_Employees]]</f>
        <v>248.38468309859155</v>
      </c>
      <c r="P329" s="2" t="str">
        <f>IF(Fact_Table[[#This Row],[0/P Producyivity/Day]]&gt;=1000,"High",IF(Fact_Table[[#This Row],[0/P Producyivity/Day]]&gt;=500,"Medium","Low"))</f>
        <v>Low</v>
      </c>
      <c r="Q329" s="10">
        <f>Fact_Table[[#This Row],[Capacity_BPD]]/Fact_Table[[#This Row],[Average_Salary_AED]]</f>
        <v>14.950037088057645</v>
      </c>
      <c r="R329" s="15">
        <f>(Fact_Table[[#This Row],[Petrol_Output_BPD]]/Fact_Table[[#This Row],[Capacity_BPD]])</f>
        <v>0.36045675078942613</v>
      </c>
      <c r="S329" s="15">
        <f>Fact_Table[[#This Row],[Diesel_Output_BPD]]/Fact_Table[[#This Row],[Capacity_BPD]]</f>
        <v>0.48479446568875878</v>
      </c>
      <c r="T329" s="15">
        <f>Fact_Table[[#This Row],[Gas_Output_BPD]]/Fact_Table[[#This Row],[Capacity_BPD]]</f>
        <v>0.15474169552073772</v>
      </c>
      <c r="U329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29" s="8">
        <f ca="1">YEAR(TODAY())-Fact_Table[[#This Row],[Commissioned_Year]]</f>
        <v>29</v>
      </c>
      <c r="W329" s="40" cm="1">
        <f t="array" ref="W329">_xlfn.XLOOKUP(Fact_Table[[#This Row],[Commissioned_Year]],cost_table[[#All],[Year]],cost_table[[#All],[Average_Crude_Price_USD_per_Barrel]],"0")</f>
        <v>18</v>
      </c>
      <c r="X329" s="40">
        <f>Fact_Table[[#This Row],[Capacity_BPD]]*Fact_Table[[#This Row],[cost per barrel]]</f>
        <v>5079006</v>
      </c>
    </row>
    <row r="330" spans="1:24" x14ac:dyDescent="0.35">
      <c r="A330" t="s">
        <v>22</v>
      </c>
      <c r="B330" t="s">
        <v>26</v>
      </c>
      <c r="C330" t="s">
        <v>48</v>
      </c>
      <c r="D330" s="5">
        <v>72116</v>
      </c>
      <c r="E330" s="5">
        <v>1982</v>
      </c>
      <c r="F330" s="5">
        <v>1493</v>
      </c>
      <c r="G330" s="3" t="s">
        <v>16</v>
      </c>
      <c r="H330" s="4">
        <v>18.98</v>
      </c>
      <c r="I330" s="4">
        <v>9.0500000000000007</v>
      </c>
      <c r="J330" s="5">
        <v>27626</v>
      </c>
      <c r="K330" s="5">
        <v>30352</v>
      </c>
      <c r="L330" s="5">
        <v>14136</v>
      </c>
      <c r="M330" s="3" t="s">
        <v>23</v>
      </c>
      <c r="N330" s="10">
        <v>8932</v>
      </c>
      <c r="O330" s="12">
        <f>(Fact_Table[[#This Row],[Petrol_Output_BPD]]+Fact_Table[[#This Row],[Diesel_Output_BPD]]+Fact_Table[[#This Row],[Gas_Output_BPD]])/Fact_Table[[#This Row],[No_of_Employees]]</f>
        <v>48.301406563965173</v>
      </c>
      <c r="P330" s="2" t="str">
        <f>IF(Fact_Table[[#This Row],[0/P Producyivity/Day]]&gt;=1000,"High",IF(Fact_Table[[#This Row],[0/P Producyivity/Day]]&gt;=500,"Medium","Low"))</f>
        <v>Low</v>
      </c>
      <c r="Q330" s="10">
        <f>Fact_Table[[#This Row],[Capacity_BPD]]/Fact_Table[[#This Row],[Average_Salary_AED]]</f>
        <v>8.0738916256157633</v>
      </c>
      <c r="R330" s="15">
        <f>(Fact_Table[[#This Row],[Petrol_Output_BPD]]/Fact_Table[[#This Row],[Capacity_BPD]])</f>
        <v>0.38307726440734374</v>
      </c>
      <c r="S330" s="15">
        <f>Fact_Table[[#This Row],[Diesel_Output_BPD]]/Fact_Table[[#This Row],[Capacity_BPD]]</f>
        <v>0.42087747517887847</v>
      </c>
      <c r="T330" s="15">
        <f>Fact_Table[[#This Row],[Gas_Output_BPD]]/Fact_Table[[#This Row],[Capacity_BPD]]</f>
        <v>0.19601752731710023</v>
      </c>
      <c r="U330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30" s="8">
        <f ca="1">YEAR(TODAY())-Fact_Table[[#This Row],[Commissioned_Year]]</f>
        <v>43</v>
      </c>
      <c r="W330" s="40" cm="1">
        <f t="array" ref="W330">_xlfn.XLOOKUP(Fact_Table[[#This Row],[Commissioned_Year]],cost_table[[#All],[Year]],cost_table[[#All],[Average_Crude_Price_USD_per_Barrel]],"0")</f>
        <v>32.799999999999997</v>
      </c>
      <c r="X330" s="40">
        <f>Fact_Table[[#This Row],[Capacity_BPD]]*Fact_Table[[#This Row],[cost per barrel]]</f>
        <v>2365404.7999999998</v>
      </c>
    </row>
    <row r="331" spans="1:24" x14ac:dyDescent="0.35">
      <c r="A331" t="s">
        <v>18</v>
      </c>
      <c r="B331" t="s">
        <v>14</v>
      </c>
      <c r="C331" t="s">
        <v>47</v>
      </c>
      <c r="D331" s="5">
        <v>808692</v>
      </c>
      <c r="E331" s="5">
        <v>2023</v>
      </c>
      <c r="F331" s="5">
        <v>1222</v>
      </c>
      <c r="G331" s="3" t="s">
        <v>21</v>
      </c>
      <c r="H331" s="4">
        <v>30.82</v>
      </c>
      <c r="I331" s="4">
        <v>8.6</v>
      </c>
      <c r="J331" s="5">
        <v>229386</v>
      </c>
      <c r="K331" s="5">
        <v>402865</v>
      </c>
      <c r="L331" s="5">
        <v>176439</v>
      </c>
      <c r="M331" s="3" t="s">
        <v>23</v>
      </c>
      <c r="N331" s="10">
        <v>20471</v>
      </c>
      <c r="O331" s="12">
        <f>(Fact_Table[[#This Row],[Petrol_Output_BPD]]+Fact_Table[[#This Row],[Diesel_Output_BPD]]+Fact_Table[[#This Row],[Gas_Output_BPD]])/Fact_Table[[#This Row],[No_of_Employees]]</f>
        <v>661.77577741407526</v>
      </c>
      <c r="P331" s="2" t="str">
        <f>IF(Fact_Table[[#This Row],[0/P Producyivity/Day]]&gt;=1000,"High",IF(Fact_Table[[#This Row],[0/P Producyivity/Day]]&gt;=500,"Medium","Low"))</f>
        <v>Medium</v>
      </c>
      <c r="Q331" s="10">
        <f>Fact_Table[[#This Row],[Capacity_BPD]]/Fact_Table[[#This Row],[Average_Salary_AED]]</f>
        <v>39.504274339309269</v>
      </c>
      <c r="R331" s="15">
        <f>(Fact_Table[[#This Row],[Petrol_Output_BPD]]/Fact_Table[[#This Row],[Capacity_BPD]])</f>
        <v>0.28365063584158123</v>
      </c>
      <c r="S331" s="15">
        <f>Fact_Table[[#This Row],[Diesel_Output_BPD]]/Fact_Table[[#This Row],[Capacity_BPD]]</f>
        <v>0.49816864764335494</v>
      </c>
      <c r="T331" s="15">
        <f>Fact_Table[[#This Row],[Gas_Output_BPD]]/Fact_Table[[#This Row],[Capacity_BPD]]</f>
        <v>0.21817824338561528</v>
      </c>
      <c r="U331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31" s="8">
        <f ca="1">YEAR(TODAY())-Fact_Table[[#This Row],[Commissioned_Year]]</f>
        <v>2</v>
      </c>
      <c r="W331" s="40" cm="1">
        <f t="array" ref="W331">_xlfn.XLOOKUP(Fact_Table[[#This Row],[Commissioned_Year]],cost_table[[#All],[Year]],cost_table[[#All],[Average_Crude_Price_USD_per_Barrel]],"0")</f>
        <v>64.3</v>
      </c>
      <c r="X331" s="40">
        <f>Fact_Table[[#This Row],[Capacity_BPD]]*Fact_Table[[#This Row],[cost per barrel]]</f>
        <v>51998895.599999994</v>
      </c>
    </row>
    <row r="332" spans="1:24" x14ac:dyDescent="0.35">
      <c r="A332" t="s">
        <v>60</v>
      </c>
      <c r="B332" t="s">
        <v>19</v>
      </c>
      <c r="C332" t="s">
        <v>15</v>
      </c>
      <c r="D332" s="5">
        <v>385007</v>
      </c>
      <c r="E332" s="5">
        <v>2022</v>
      </c>
      <c r="F332" s="5">
        <v>1524</v>
      </c>
      <c r="G332" s="3" t="s">
        <v>16</v>
      </c>
      <c r="H332" s="4">
        <v>3.26</v>
      </c>
      <c r="I332" s="4">
        <v>7.79</v>
      </c>
      <c r="J332" s="5">
        <v>111797</v>
      </c>
      <c r="K332" s="5">
        <v>203160</v>
      </c>
      <c r="L332" s="5">
        <v>70048</v>
      </c>
      <c r="M332" s="3" t="s">
        <v>38</v>
      </c>
      <c r="N332" s="10">
        <v>11652</v>
      </c>
      <c r="O332" s="12">
        <f>(Fact_Table[[#This Row],[Petrol_Output_BPD]]+Fact_Table[[#This Row],[Diesel_Output_BPD]]+Fact_Table[[#This Row],[Gas_Output_BPD]])/Fact_Table[[#This Row],[No_of_Employees]]</f>
        <v>252.62795275590551</v>
      </c>
      <c r="P332" s="2" t="str">
        <f>IF(Fact_Table[[#This Row],[0/P Producyivity/Day]]&gt;=1000,"High",IF(Fact_Table[[#This Row],[0/P Producyivity/Day]]&gt;=500,"Medium","Low"))</f>
        <v>Low</v>
      </c>
      <c r="Q332" s="10">
        <f>Fact_Table[[#This Row],[Capacity_BPD]]/Fact_Table[[#This Row],[Average_Salary_AED]]</f>
        <v>33.042138688637145</v>
      </c>
      <c r="R332" s="15">
        <f>(Fact_Table[[#This Row],[Petrol_Output_BPD]]/Fact_Table[[#This Row],[Capacity_BPD]])</f>
        <v>0.29037653860838891</v>
      </c>
      <c r="S332" s="15">
        <f>Fact_Table[[#This Row],[Diesel_Output_BPD]]/Fact_Table[[#This Row],[Capacity_BPD]]</f>
        <v>0.5276787175298111</v>
      </c>
      <c r="T332" s="15">
        <f>Fact_Table[[#This Row],[Gas_Output_BPD]]/Fact_Table[[#This Row],[Capacity_BPD]]</f>
        <v>0.1819395491510544</v>
      </c>
      <c r="U33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32" s="8">
        <f ca="1">YEAR(TODAY())-Fact_Table[[#This Row],[Commissioned_Year]]</f>
        <v>3</v>
      </c>
      <c r="W332" s="40" cm="1">
        <f t="array" ref="W332">_xlfn.XLOOKUP(Fact_Table[[#This Row],[Commissioned_Year]],cost_table[[#All],[Year]],cost_table[[#All],[Average_Crude_Price_USD_per_Barrel]],"0")</f>
        <v>71.3</v>
      </c>
      <c r="X332" s="40">
        <f>Fact_Table[[#This Row],[Capacity_BPD]]*Fact_Table[[#This Row],[cost per barrel]]</f>
        <v>27450999.099999998</v>
      </c>
    </row>
    <row r="333" spans="1:24" x14ac:dyDescent="0.35">
      <c r="A333" t="s">
        <v>22</v>
      </c>
      <c r="B333" t="s">
        <v>32</v>
      </c>
      <c r="C333" t="s">
        <v>50</v>
      </c>
      <c r="D333" s="5">
        <v>886496</v>
      </c>
      <c r="E333" s="5">
        <v>1975</v>
      </c>
      <c r="F333" s="5">
        <v>1770</v>
      </c>
      <c r="G333" s="3" t="s">
        <v>21</v>
      </c>
      <c r="H333" s="4">
        <v>19.47</v>
      </c>
      <c r="I333" s="4">
        <v>5.23</v>
      </c>
      <c r="J333" s="5">
        <v>352158</v>
      </c>
      <c r="K333" s="5">
        <v>404467</v>
      </c>
      <c r="L333" s="5">
        <v>129870</v>
      </c>
      <c r="M333" s="3" t="s">
        <v>38</v>
      </c>
      <c r="N333" s="10">
        <v>15615</v>
      </c>
      <c r="O333" s="12">
        <f>(Fact_Table[[#This Row],[Petrol_Output_BPD]]+Fact_Table[[#This Row],[Diesel_Output_BPD]]+Fact_Table[[#This Row],[Gas_Output_BPD]])/Fact_Table[[#This Row],[No_of_Employees]]</f>
        <v>500.84463276836158</v>
      </c>
      <c r="P333" s="2" t="str">
        <f>IF(Fact_Table[[#This Row],[0/P Producyivity/Day]]&gt;=1000,"High",IF(Fact_Table[[#This Row],[0/P Producyivity/Day]]&gt;=500,"Medium","Low"))</f>
        <v>Medium</v>
      </c>
      <c r="Q333" s="10">
        <f>Fact_Table[[#This Row],[Capacity_BPD]]/Fact_Table[[#This Row],[Average_Salary_AED]]</f>
        <v>56.772078130003202</v>
      </c>
      <c r="R333" s="15">
        <f>(Fact_Table[[#This Row],[Petrol_Output_BPD]]/Fact_Table[[#This Row],[Capacity_BPD]])</f>
        <v>0.39724713929899291</v>
      </c>
      <c r="S333" s="15">
        <f>Fact_Table[[#This Row],[Diesel_Output_BPD]]/Fact_Table[[#This Row],[Capacity_BPD]]</f>
        <v>0.45625360971735912</v>
      </c>
      <c r="T333" s="15">
        <f>Fact_Table[[#This Row],[Gas_Output_BPD]]/Fact_Table[[#This Row],[Capacity_BPD]]</f>
        <v>0.14649812294697326</v>
      </c>
      <c r="U333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33" s="8">
        <f ca="1">YEAR(TODAY())-Fact_Table[[#This Row],[Commissioned_Year]]</f>
        <v>50</v>
      </c>
      <c r="W333" s="40" cm="1">
        <f t="array" ref="W333">_xlfn.XLOOKUP(Fact_Table[[#This Row],[Commissioned_Year]],cost_table[[#All],[Year]],cost_table[[#All],[Average_Crude_Price_USD_per_Barrel]],"0")</f>
        <v>10.7</v>
      </c>
      <c r="X333" s="40">
        <f>Fact_Table[[#This Row],[Capacity_BPD]]*Fact_Table[[#This Row],[cost per barrel]]</f>
        <v>9485507.1999999993</v>
      </c>
    </row>
    <row r="334" spans="1:24" x14ac:dyDescent="0.35">
      <c r="A334" t="s">
        <v>18</v>
      </c>
      <c r="B334" t="s">
        <v>26</v>
      </c>
      <c r="C334" t="s">
        <v>20</v>
      </c>
      <c r="D334" s="5">
        <v>288477</v>
      </c>
      <c r="E334" s="5">
        <v>1983</v>
      </c>
      <c r="F334" s="5">
        <v>1487</v>
      </c>
      <c r="G334" s="3" t="s">
        <v>21</v>
      </c>
      <c r="H334" s="4">
        <v>11.94</v>
      </c>
      <c r="I334" s="4">
        <v>8.68</v>
      </c>
      <c r="J334" s="5">
        <v>118767</v>
      </c>
      <c r="K334" s="5">
        <v>103145</v>
      </c>
      <c r="L334" s="5">
        <v>66564</v>
      </c>
      <c r="M334" s="3" t="s">
        <v>34</v>
      </c>
      <c r="N334" s="10">
        <v>14742</v>
      </c>
      <c r="O334" s="12">
        <f>(Fact_Table[[#This Row],[Petrol_Output_BPD]]+Fact_Table[[#This Row],[Diesel_Output_BPD]]+Fact_Table[[#This Row],[Gas_Output_BPD]])/Fact_Table[[#This Row],[No_of_Employees]]</f>
        <v>193.99865501008742</v>
      </c>
      <c r="P334" s="2" t="str">
        <f>IF(Fact_Table[[#This Row],[0/P Producyivity/Day]]&gt;=1000,"High",IF(Fact_Table[[#This Row],[0/P Producyivity/Day]]&gt;=500,"Medium","Low"))</f>
        <v>Low</v>
      </c>
      <c r="Q334" s="10">
        <f>Fact_Table[[#This Row],[Capacity_BPD]]/Fact_Table[[#This Row],[Average_Salary_AED]]</f>
        <v>19.568376068376068</v>
      </c>
      <c r="R334" s="15">
        <f>(Fact_Table[[#This Row],[Petrol_Output_BPD]]/Fact_Table[[#This Row],[Capacity_BPD]])</f>
        <v>0.4117035326906478</v>
      </c>
      <c r="S334" s="15">
        <f>Fact_Table[[#This Row],[Diesel_Output_BPD]]/Fact_Table[[#This Row],[Capacity_BPD]]</f>
        <v>0.35755016864429401</v>
      </c>
      <c r="T334" s="15">
        <f>Fact_Table[[#This Row],[Gas_Output_BPD]]/Fact_Table[[#This Row],[Capacity_BPD]]</f>
        <v>0.23074283218419492</v>
      </c>
      <c r="U334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34" s="8">
        <f ca="1">YEAR(TODAY())-Fact_Table[[#This Row],[Commissioned_Year]]</f>
        <v>42</v>
      </c>
      <c r="W334" s="40" cm="1">
        <f t="array" ref="W334">_xlfn.XLOOKUP(Fact_Table[[#This Row],[Commissioned_Year]],cost_table[[#All],[Year]],cost_table[[#All],[Average_Crude_Price_USD_per_Barrel]],"0")</f>
        <v>29</v>
      </c>
      <c r="X334" s="40">
        <f>Fact_Table[[#This Row],[Capacity_BPD]]*Fact_Table[[#This Row],[cost per barrel]]</f>
        <v>8365833</v>
      </c>
    </row>
    <row r="335" spans="1:24" x14ac:dyDescent="0.35">
      <c r="A335" t="s">
        <v>30</v>
      </c>
      <c r="B335" t="s">
        <v>26</v>
      </c>
      <c r="C335" t="s">
        <v>50</v>
      </c>
      <c r="D335" s="5">
        <v>589838</v>
      </c>
      <c r="E335" s="5">
        <v>2011</v>
      </c>
      <c r="F335" s="5">
        <v>1206</v>
      </c>
      <c r="G335" s="3" t="s">
        <v>28</v>
      </c>
      <c r="H335" s="4">
        <v>30.58</v>
      </c>
      <c r="I335" s="4">
        <v>6.02</v>
      </c>
      <c r="J335" s="5">
        <v>170060</v>
      </c>
      <c r="K335" s="5">
        <v>272738</v>
      </c>
      <c r="L335" s="5">
        <v>147039</v>
      </c>
      <c r="M335" s="3" t="s">
        <v>34</v>
      </c>
      <c r="N335" s="10">
        <v>14832</v>
      </c>
      <c r="O335" s="12">
        <f>(Fact_Table[[#This Row],[Petrol_Output_BPD]]+Fact_Table[[#This Row],[Diesel_Output_BPD]]+Fact_Table[[#This Row],[Gas_Output_BPD]])/Fact_Table[[#This Row],[No_of_Employees]]</f>
        <v>489.08540630182421</v>
      </c>
      <c r="P335" s="2" t="str">
        <f>IF(Fact_Table[[#This Row],[0/P Producyivity/Day]]&gt;=1000,"High",IF(Fact_Table[[#This Row],[0/P Producyivity/Day]]&gt;=500,"Medium","Low"))</f>
        <v>Low</v>
      </c>
      <c r="Q335" s="10">
        <f>Fact_Table[[#This Row],[Capacity_BPD]]/Fact_Table[[#This Row],[Average_Salary_AED]]</f>
        <v>39.767934196332256</v>
      </c>
      <c r="R335" s="15">
        <f>(Fact_Table[[#This Row],[Petrol_Output_BPD]]/Fact_Table[[#This Row],[Capacity_BPD]])</f>
        <v>0.28831645299217751</v>
      </c>
      <c r="S335" s="15">
        <f>Fact_Table[[#This Row],[Diesel_Output_BPD]]/Fact_Table[[#This Row],[Capacity_BPD]]</f>
        <v>0.46239475923897749</v>
      </c>
      <c r="T335" s="15">
        <f>Fact_Table[[#This Row],[Gas_Output_BPD]]/Fact_Table[[#This Row],[Capacity_BPD]]</f>
        <v>0.24928709238807945</v>
      </c>
      <c r="U335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35" s="8">
        <f ca="1">YEAR(TODAY())-Fact_Table[[#This Row],[Commissioned_Year]]</f>
        <v>14</v>
      </c>
      <c r="W335" s="40" cm="1">
        <f t="array" ref="W335">_xlfn.XLOOKUP(Fact_Table[[#This Row],[Commissioned_Year]],cost_table[[#All],[Year]],cost_table[[#All],[Average_Crude_Price_USD_per_Barrel]],"0")</f>
        <v>66.099999999999994</v>
      </c>
      <c r="X335" s="40">
        <f>Fact_Table[[#This Row],[Capacity_BPD]]*Fact_Table[[#This Row],[cost per barrel]]</f>
        <v>38988291.799999997</v>
      </c>
    </row>
    <row r="336" spans="1:24" x14ac:dyDescent="0.35">
      <c r="A336" t="s">
        <v>27</v>
      </c>
      <c r="B336" t="s">
        <v>19</v>
      </c>
      <c r="C336" t="s">
        <v>33</v>
      </c>
      <c r="D336" s="5">
        <v>387149</v>
      </c>
      <c r="E336" s="5">
        <v>2007</v>
      </c>
      <c r="F336" s="5">
        <v>2079</v>
      </c>
      <c r="G336" s="3" t="s">
        <v>21</v>
      </c>
      <c r="H336" s="4">
        <v>7.67</v>
      </c>
      <c r="I336" s="4">
        <v>7.06</v>
      </c>
      <c r="J336" s="5">
        <v>119445</v>
      </c>
      <c r="K336" s="5">
        <v>166150</v>
      </c>
      <c r="L336" s="5">
        <v>101552</v>
      </c>
      <c r="M336" s="3" t="s">
        <v>34</v>
      </c>
      <c r="N336" s="10">
        <v>14258</v>
      </c>
      <c r="O336" s="12">
        <f>(Fact_Table[[#This Row],[Petrol_Output_BPD]]+Fact_Table[[#This Row],[Diesel_Output_BPD]]+Fact_Table[[#This Row],[Gas_Output_BPD]])/Fact_Table[[#This Row],[No_of_Employees]]</f>
        <v>186.21789321789322</v>
      </c>
      <c r="P336" s="2" t="str">
        <f>IF(Fact_Table[[#This Row],[0/P Producyivity/Day]]&gt;=1000,"High",IF(Fact_Table[[#This Row],[0/P Producyivity/Day]]&gt;=500,"Medium","Low"))</f>
        <v>Low</v>
      </c>
      <c r="Q336" s="10">
        <f>Fact_Table[[#This Row],[Capacity_BPD]]/Fact_Table[[#This Row],[Average_Salary_AED]]</f>
        <v>27.15310702763361</v>
      </c>
      <c r="R336" s="15">
        <f>(Fact_Table[[#This Row],[Petrol_Output_BPD]]/Fact_Table[[#This Row],[Capacity_BPD]])</f>
        <v>0.30852462488602578</v>
      </c>
      <c r="S336" s="15">
        <f>Fact_Table[[#This Row],[Diesel_Output_BPD]]/Fact_Table[[#This Row],[Capacity_BPD]]</f>
        <v>0.42916293210107737</v>
      </c>
      <c r="T336" s="15">
        <f>Fact_Table[[#This Row],[Gas_Output_BPD]]/Fact_Table[[#This Row],[Capacity_BPD]]</f>
        <v>0.26230727704320561</v>
      </c>
      <c r="U33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36" s="8">
        <f ca="1">YEAR(TODAY())-Fact_Table[[#This Row],[Commissioned_Year]]</f>
        <v>18</v>
      </c>
      <c r="W336" s="40" cm="1">
        <f t="array" ref="W336">_xlfn.XLOOKUP(Fact_Table[[#This Row],[Commissioned_Year]],cost_table[[#All],[Year]],cost_table[[#All],[Average_Crude_Price_USD_per_Barrel]],"0")</f>
        <v>24.4</v>
      </c>
      <c r="X336" s="40">
        <f>Fact_Table[[#This Row],[Capacity_BPD]]*Fact_Table[[#This Row],[cost per barrel]]</f>
        <v>9446435.5999999996</v>
      </c>
    </row>
    <row r="337" spans="1:24" x14ac:dyDescent="0.35">
      <c r="A337" t="s">
        <v>36</v>
      </c>
      <c r="B337" t="s">
        <v>26</v>
      </c>
      <c r="C337" t="s">
        <v>33</v>
      </c>
      <c r="D337" s="5">
        <v>663563</v>
      </c>
      <c r="E337" s="5">
        <v>1987</v>
      </c>
      <c r="F337" s="5">
        <v>635</v>
      </c>
      <c r="G337" s="3" t="s">
        <v>21</v>
      </c>
      <c r="H337" s="4">
        <v>29.22</v>
      </c>
      <c r="I337" s="4">
        <v>9.5299999999999994</v>
      </c>
      <c r="J337" s="5">
        <v>256342</v>
      </c>
      <c r="K337" s="5">
        <v>303607</v>
      </c>
      <c r="L337" s="5">
        <v>103612</v>
      </c>
      <c r="M337" s="3" t="s">
        <v>17</v>
      </c>
      <c r="N337" s="10">
        <v>12628</v>
      </c>
      <c r="O337" s="12">
        <f>(Fact_Table[[#This Row],[Petrol_Output_BPD]]+Fact_Table[[#This Row],[Diesel_Output_BPD]]+Fact_Table[[#This Row],[Gas_Output_BPD]])/Fact_Table[[#This Row],[No_of_Employees]]</f>
        <v>1044.9779527559056</v>
      </c>
      <c r="P337" s="2" t="str">
        <f>IF(Fact_Table[[#This Row],[0/P Producyivity/Day]]&gt;=1000,"High",IF(Fact_Table[[#This Row],[0/P Producyivity/Day]]&gt;=500,"Medium","Low"))</f>
        <v>High</v>
      </c>
      <c r="Q337" s="10">
        <f>Fact_Table[[#This Row],[Capacity_BPD]]/Fact_Table[[#This Row],[Average_Salary_AED]]</f>
        <v>52.546959138422551</v>
      </c>
      <c r="R337" s="15">
        <f>(Fact_Table[[#This Row],[Petrol_Output_BPD]]/Fact_Table[[#This Row],[Capacity_BPD]])</f>
        <v>0.38631147306284408</v>
      </c>
      <c r="S337" s="15">
        <f>Fact_Table[[#This Row],[Diesel_Output_BPD]]/Fact_Table[[#This Row],[Capacity_BPD]]</f>
        <v>0.45754058017098603</v>
      </c>
      <c r="T337" s="15">
        <f>Fact_Table[[#This Row],[Gas_Output_BPD]]/Fact_Table[[#This Row],[Capacity_BPD]]</f>
        <v>0.15614493273434474</v>
      </c>
      <c r="U337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37" s="8">
        <f ca="1">YEAR(TODAY())-Fact_Table[[#This Row],[Commissioned_Year]]</f>
        <v>38</v>
      </c>
      <c r="W337" s="40" cm="1">
        <f t="array" ref="W337">_xlfn.XLOOKUP(Fact_Table[[#This Row],[Commissioned_Year]],cost_table[[#All],[Year]],cost_table[[#All],[Average_Crude_Price_USD_per_Barrel]],"0")</f>
        <v>18.399999999999999</v>
      </c>
      <c r="X337" s="40">
        <f>Fact_Table[[#This Row],[Capacity_BPD]]*Fact_Table[[#This Row],[cost per barrel]]</f>
        <v>12209559.199999999</v>
      </c>
    </row>
    <row r="338" spans="1:24" x14ac:dyDescent="0.35">
      <c r="A338" t="s">
        <v>45</v>
      </c>
      <c r="B338" t="s">
        <v>14</v>
      </c>
      <c r="C338" t="s">
        <v>33</v>
      </c>
      <c r="D338" s="5">
        <v>569393</v>
      </c>
      <c r="E338" s="5">
        <v>1990</v>
      </c>
      <c r="F338" s="5">
        <v>454</v>
      </c>
      <c r="G338" s="3" t="s">
        <v>16</v>
      </c>
      <c r="H338" s="4">
        <v>30.22</v>
      </c>
      <c r="I338" s="4">
        <v>6.78</v>
      </c>
      <c r="J338" s="5">
        <v>203810</v>
      </c>
      <c r="K338" s="5">
        <v>250261</v>
      </c>
      <c r="L338" s="5">
        <v>115321</v>
      </c>
      <c r="M338" s="3" t="s">
        <v>34</v>
      </c>
      <c r="N338" s="10">
        <v>23583</v>
      </c>
      <c r="O338" s="12">
        <f>(Fact_Table[[#This Row],[Petrol_Output_BPD]]+Fact_Table[[#This Row],[Diesel_Output_BPD]]+Fact_Table[[#This Row],[Gas_Output_BPD]])/Fact_Table[[#This Row],[No_of_Employees]]</f>
        <v>1254.1674008810573</v>
      </c>
      <c r="P338" s="2" t="str">
        <f>IF(Fact_Table[[#This Row],[0/P Producyivity/Day]]&gt;=1000,"High",IF(Fact_Table[[#This Row],[0/P Producyivity/Day]]&gt;=500,"Medium","Low"))</f>
        <v>High</v>
      </c>
      <c r="Q338" s="10">
        <f>Fact_Table[[#This Row],[Capacity_BPD]]/Fact_Table[[#This Row],[Average_Salary_AED]]</f>
        <v>24.144214052495443</v>
      </c>
      <c r="R338" s="15">
        <f>(Fact_Table[[#This Row],[Petrol_Output_BPD]]/Fact_Table[[#This Row],[Capacity_BPD]])</f>
        <v>0.35794258095902126</v>
      </c>
      <c r="S338" s="15">
        <f>Fact_Table[[#This Row],[Diesel_Output_BPD]]/Fact_Table[[#This Row],[Capacity_BPD]]</f>
        <v>0.43952243880764252</v>
      </c>
      <c r="T338" s="15">
        <f>Fact_Table[[#This Row],[Gas_Output_BPD]]/Fact_Table[[#This Row],[Capacity_BPD]]</f>
        <v>0.20253322397711246</v>
      </c>
      <c r="U33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38" s="8">
        <f ca="1">YEAR(TODAY())-Fact_Table[[#This Row],[Commissioned_Year]]</f>
        <v>35</v>
      </c>
      <c r="W338" s="40" cm="1">
        <f t="array" ref="W338">_xlfn.XLOOKUP(Fact_Table[[#This Row],[Commissioned_Year]],cost_table[[#All],[Year]],cost_table[[#All],[Average_Crude_Price_USD_per_Barrel]],"0")</f>
        <v>22.3</v>
      </c>
      <c r="X338" s="40">
        <f>Fact_Table[[#This Row],[Capacity_BPD]]*Fact_Table[[#This Row],[cost per barrel]]</f>
        <v>12697463.9</v>
      </c>
    </row>
    <row r="339" spans="1:24" x14ac:dyDescent="0.35">
      <c r="A339" t="s">
        <v>22</v>
      </c>
      <c r="B339" t="s">
        <v>32</v>
      </c>
      <c r="C339" t="s">
        <v>47</v>
      </c>
      <c r="D339" s="5">
        <v>689413</v>
      </c>
      <c r="E339" s="5">
        <v>2017</v>
      </c>
      <c r="F339" s="5">
        <v>868</v>
      </c>
      <c r="G339" s="3" t="s">
        <v>31</v>
      </c>
      <c r="H339" s="4">
        <v>11.83</v>
      </c>
      <c r="I339" s="4">
        <v>8.3000000000000007</v>
      </c>
      <c r="J339" s="5">
        <v>260279</v>
      </c>
      <c r="K339" s="5">
        <v>284974</v>
      </c>
      <c r="L339" s="5">
        <v>144159</v>
      </c>
      <c r="M339" s="3" t="s">
        <v>23</v>
      </c>
      <c r="N339" s="10">
        <v>20170</v>
      </c>
      <c r="O339" s="12">
        <f>(Fact_Table[[#This Row],[Petrol_Output_BPD]]+Fact_Table[[#This Row],[Diesel_Output_BPD]]+Fact_Table[[#This Row],[Gas_Output_BPD]])/Fact_Table[[#This Row],[No_of_Employees]]</f>
        <v>794.25345622119812</v>
      </c>
      <c r="P339" s="2" t="str">
        <f>IF(Fact_Table[[#This Row],[0/P Producyivity/Day]]&gt;=1000,"High",IF(Fact_Table[[#This Row],[0/P Producyivity/Day]]&gt;=500,"Medium","Low"))</f>
        <v>Medium</v>
      </c>
      <c r="Q339" s="10">
        <f>Fact_Table[[#This Row],[Capacity_BPD]]/Fact_Table[[#This Row],[Average_Salary_AED]]</f>
        <v>34.180118988596924</v>
      </c>
      <c r="R339" s="15">
        <f>(Fact_Table[[#This Row],[Petrol_Output_BPD]]/Fact_Table[[#This Row],[Capacity_BPD]])</f>
        <v>0.37753712216044666</v>
      </c>
      <c r="S339" s="15">
        <f>Fact_Table[[#This Row],[Diesel_Output_BPD]]/Fact_Table[[#This Row],[Capacity_BPD]]</f>
        <v>0.41335745046873207</v>
      </c>
      <c r="T339" s="15">
        <f>Fact_Table[[#This Row],[Gas_Output_BPD]]/Fact_Table[[#This Row],[Capacity_BPD]]</f>
        <v>0.20910397686147492</v>
      </c>
      <c r="U339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39" s="8">
        <f ca="1">YEAR(TODAY())-Fact_Table[[#This Row],[Commissioned_Year]]</f>
        <v>8</v>
      </c>
      <c r="W339" s="40" cm="1">
        <f t="array" ref="W339">_xlfn.XLOOKUP(Fact_Table[[#This Row],[Commissioned_Year]],cost_table[[#All],[Year]],cost_table[[#All],[Average_Crude_Price_USD_per_Barrel]],"0")</f>
        <v>71.3</v>
      </c>
      <c r="X339" s="40">
        <f>Fact_Table[[#This Row],[Capacity_BPD]]*Fact_Table[[#This Row],[cost per barrel]]</f>
        <v>49155146.899999999</v>
      </c>
    </row>
    <row r="340" spans="1:24" x14ac:dyDescent="0.35">
      <c r="A340" t="s">
        <v>30</v>
      </c>
      <c r="B340" t="s">
        <v>26</v>
      </c>
      <c r="C340" t="s">
        <v>49</v>
      </c>
      <c r="D340" s="5">
        <v>816432</v>
      </c>
      <c r="E340" s="5">
        <v>2012</v>
      </c>
      <c r="F340" s="5">
        <v>1970</v>
      </c>
      <c r="G340" s="3" t="s">
        <v>28</v>
      </c>
      <c r="H340" s="4">
        <v>2.27</v>
      </c>
      <c r="I340" s="4">
        <v>9.61</v>
      </c>
      <c r="J340" s="5">
        <v>303145</v>
      </c>
      <c r="K340" s="5">
        <v>415880</v>
      </c>
      <c r="L340" s="5">
        <v>97405</v>
      </c>
      <c r="M340" s="3" t="s">
        <v>17</v>
      </c>
      <c r="N340" s="10">
        <v>8444</v>
      </c>
      <c r="O340" s="12">
        <f>(Fact_Table[[#This Row],[Petrol_Output_BPD]]+Fact_Table[[#This Row],[Diesel_Output_BPD]]+Fact_Table[[#This Row],[Gas_Output_BPD]])/Fact_Table[[#This Row],[No_of_Employees]]</f>
        <v>414.43147208121826</v>
      </c>
      <c r="P340" s="2" t="str">
        <f>IF(Fact_Table[[#This Row],[0/P Producyivity/Day]]&gt;=1000,"High",IF(Fact_Table[[#This Row],[0/P Producyivity/Day]]&gt;=500,"Medium","Low"))</f>
        <v>Low</v>
      </c>
      <c r="Q340" s="10">
        <f>Fact_Table[[#This Row],[Capacity_BPD]]/Fact_Table[[#This Row],[Average_Salary_AED]]</f>
        <v>96.687825675035526</v>
      </c>
      <c r="R340" s="15">
        <f>(Fact_Table[[#This Row],[Petrol_Output_BPD]]/Fact_Table[[#This Row],[Capacity_BPD]])</f>
        <v>0.37130465243890487</v>
      </c>
      <c r="S340" s="15">
        <f>Fact_Table[[#This Row],[Diesel_Output_BPD]]/Fact_Table[[#This Row],[Capacity_BPD]]</f>
        <v>0.50938718717541698</v>
      </c>
      <c r="T340" s="15">
        <f>Fact_Table[[#This Row],[Gas_Output_BPD]]/Fact_Table[[#This Row],[Capacity_BPD]]</f>
        <v>0.11930571070217728</v>
      </c>
      <c r="U340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40" s="8">
        <f ca="1">YEAR(TODAY())-Fact_Table[[#This Row],[Commissioned_Year]]</f>
        <v>13</v>
      </c>
      <c r="W340" s="40" cm="1">
        <f t="array" ref="W340">_xlfn.XLOOKUP(Fact_Table[[#This Row],[Commissioned_Year]],cost_table[[#All],[Year]],cost_table[[#All],[Average_Crude_Price_USD_per_Barrel]],"0")</f>
        <v>72.400000000000006</v>
      </c>
      <c r="X340" s="40">
        <f>Fact_Table[[#This Row],[Capacity_BPD]]*Fact_Table[[#This Row],[cost per barrel]]</f>
        <v>59109676.800000004</v>
      </c>
    </row>
    <row r="341" spans="1:24" x14ac:dyDescent="0.35">
      <c r="A341" t="s">
        <v>22</v>
      </c>
      <c r="B341" t="s">
        <v>14</v>
      </c>
      <c r="C341" t="s">
        <v>33</v>
      </c>
      <c r="D341" s="5">
        <v>891378</v>
      </c>
      <c r="E341" s="5">
        <v>1987</v>
      </c>
      <c r="F341" s="5">
        <v>1541</v>
      </c>
      <c r="G341" s="3" t="s">
        <v>28</v>
      </c>
      <c r="H341" s="4">
        <v>19.649999999999999</v>
      </c>
      <c r="I341" s="4">
        <v>9.1300000000000008</v>
      </c>
      <c r="J341" s="5">
        <v>387533</v>
      </c>
      <c r="K341" s="5">
        <v>382553</v>
      </c>
      <c r="L341" s="5">
        <v>121290</v>
      </c>
      <c r="M341" s="3" t="s">
        <v>23</v>
      </c>
      <c r="N341" s="10">
        <v>24562</v>
      </c>
      <c r="O341" s="12">
        <f>(Fact_Table[[#This Row],[Petrol_Output_BPD]]+Fact_Table[[#This Row],[Diesel_Output_BPD]]+Fact_Table[[#This Row],[Gas_Output_BPD]])/Fact_Table[[#This Row],[No_of_Employees]]</f>
        <v>578.43997404282936</v>
      </c>
      <c r="P341" s="2" t="str">
        <f>IF(Fact_Table[[#This Row],[0/P Producyivity/Day]]&gt;=1000,"High",IF(Fact_Table[[#This Row],[0/P Producyivity/Day]]&gt;=500,"Medium","Low"))</f>
        <v>Medium</v>
      </c>
      <c r="Q341" s="10">
        <f>Fact_Table[[#This Row],[Capacity_BPD]]/Fact_Table[[#This Row],[Average_Salary_AED]]</f>
        <v>36.290937220096083</v>
      </c>
      <c r="R341" s="15">
        <f>(Fact_Table[[#This Row],[Petrol_Output_BPD]]/Fact_Table[[#This Row],[Capacity_BPD]])</f>
        <v>0.43475719616144892</v>
      </c>
      <c r="S341" s="15">
        <f>Fact_Table[[#This Row],[Diesel_Output_BPD]]/Fact_Table[[#This Row],[Capacity_BPD]]</f>
        <v>0.42917034075330557</v>
      </c>
      <c r="T341" s="15">
        <f>Fact_Table[[#This Row],[Gas_Output_BPD]]/Fact_Table[[#This Row],[Capacity_BPD]]</f>
        <v>0.13607021936821415</v>
      </c>
      <c r="U341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41" s="8">
        <f ca="1">YEAR(TODAY())-Fact_Table[[#This Row],[Commissioned_Year]]</f>
        <v>38</v>
      </c>
      <c r="W341" s="40" cm="1">
        <f t="array" ref="W341">_xlfn.XLOOKUP(Fact_Table[[#This Row],[Commissioned_Year]],cost_table[[#All],[Year]],cost_table[[#All],[Average_Crude_Price_USD_per_Barrel]],"0")</f>
        <v>18.399999999999999</v>
      </c>
      <c r="X341" s="40">
        <f>Fact_Table[[#This Row],[Capacity_BPD]]*Fact_Table[[#This Row],[cost per barrel]]</f>
        <v>16401355.199999999</v>
      </c>
    </row>
    <row r="342" spans="1:24" x14ac:dyDescent="0.35">
      <c r="A342" t="s">
        <v>37</v>
      </c>
      <c r="B342" t="s">
        <v>40</v>
      </c>
      <c r="C342" t="s">
        <v>48</v>
      </c>
      <c r="D342" s="5">
        <v>333975</v>
      </c>
      <c r="E342" s="5">
        <v>2000</v>
      </c>
      <c r="F342" s="5">
        <v>2446</v>
      </c>
      <c r="G342" s="3" t="s">
        <v>16</v>
      </c>
      <c r="H342" s="4">
        <v>30.03</v>
      </c>
      <c r="I342" s="4">
        <v>9.24</v>
      </c>
      <c r="J342" s="5">
        <v>126611</v>
      </c>
      <c r="K342" s="5">
        <v>150833</v>
      </c>
      <c r="L342" s="5">
        <v>56529</v>
      </c>
      <c r="M342" s="3" t="s">
        <v>17</v>
      </c>
      <c r="N342" s="10">
        <v>13499</v>
      </c>
      <c r="O342" s="12">
        <f>(Fact_Table[[#This Row],[Petrol_Output_BPD]]+Fact_Table[[#This Row],[Diesel_Output_BPD]]+Fact_Table[[#This Row],[Gas_Output_BPD]])/Fact_Table[[#This Row],[No_of_Employees]]</f>
        <v>136.53843008994275</v>
      </c>
      <c r="P342" s="2" t="str">
        <f>IF(Fact_Table[[#This Row],[0/P Producyivity/Day]]&gt;=1000,"High",IF(Fact_Table[[#This Row],[0/P Producyivity/Day]]&gt;=500,"Medium","Low"))</f>
        <v>Low</v>
      </c>
      <c r="Q342" s="10">
        <f>Fact_Table[[#This Row],[Capacity_BPD]]/Fact_Table[[#This Row],[Average_Salary_AED]]</f>
        <v>24.740721534928515</v>
      </c>
      <c r="R342" s="15">
        <f>(Fact_Table[[#This Row],[Petrol_Output_BPD]]/Fact_Table[[#This Row],[Capacity_BPD]])</f>
        <v>0.37910322628939291</v>
      </c>
      <c r="S342" s="15">
        <f>Fact_Table[[#This Row],[Diesel_Output_BPD]]/Fact_Table[[#This Row],[Capacity_BPD]]</f>
        <v>0.45162961299498466</v>
      </c>
      <c r="T342" s="15">
        <f>Fact_Table[[#This Row],[Gas_Output_BPD]]/Fact_Table[[#This Row],[Capacity_BPD]]</f>
        <v>0.1692611722434314</v>
      </c>
      <c r="U342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42" s="8">
        <f ca="1">YEAR(TODAY())-Fact_Table[[#This Row],[Commissioned_Year]]</f>
        <v>25</v>
      </c>
      <c r="W342" s="40" cm="1">
        <f t="array" ref="W342">_xlfn.XLOOKUP(Fact_Table[[#This Row],[Commissioned_Year]],cost_table[[#All],[Year]],cost_table[[#All],[Average_Crude_Price_USD_per_Barrel]],"0")</f>
        <v>23.1</v>
      </c>
      <c r="X342" s="40">
        <f>Fact_Table[[#This Row],[Capacity_BPD]]*Fact_Table[[#This Row],[cost per barrel]]</f>
        <v>7714822.5000000009</v>
      </c>
    </row>
    <row r="343" spans="1:24" x14ac:dyDescent="0.35">
      <c r="A343" t="s">
        <v>60</v>
      </c>
      <c r="B343" t="s">
        <v>41</v>
      </c>
      <c r="C343" t="s">
        <v>51</v>
      </c>
      <c r="D343" s="5">
        <v>750408</v>
      </c>
      <c r="E343" s="5">
        <v>1997</v>
      </c>
      <c r="F343" s="5">
        <v>1876</v>
      </c>
      <c r="G343" s="3" t="s">
        <v>31</v>
      </c>
      <c r="H343" s="4">
        <v>30.84</v>
      </c>
      <c r="I343" s="4">
        <v>6.53</v>
      </c>
      <c r="J343" s="5">
        <v>286997</v>
      </c>
      <c r="K343" s="5">
        <v>296497</v>
      </c>
      <c r="L343" s="5">
        <v>166912</v>
      </c>
      <c r="M343" s="3" t="s">
        <v>17</v>
      </c>
      <c r="N343" s="10">
        <v>12050</v>
      </c>
      <c r="O343" s="12">
        <f>(Fact_Table[[#This Row],[Petrol_Output_BPD]]+Fact_Table[[#This Row],[Diesel_Output_BPD]]+Fact_Table[[#This Row],[Gas_Output_BPD]])/Fact_Table[[#This Row],[No_of_Employees]]</f>
        <v>400.00319829424308</v>
      </c>
      <c r="P343" s="2" t="str">
        <f>IF(Fact_Table[[#This Row],[0/P Producyivity/Day]]&gt;=1000,"High",IF(Fact_Table[[#This Row],[0/P Producyivity/Day]]&gt;=500,"Medium","Low"))</f>
        <v>Low</v>
      </c>
      <c r="Q343" s="10">
        <f>Fact_Table[[#This Row],[Capacity_BPD]]/Fact_Table[[#This Row],[Average_Salary_AED]]</f>
        <v>62.274522821576767</v>
      </c>
      <c r="R343" s="15">
        <f>(Fact_Table[[#This Row],[Petrol_Output_BPD]]/Fact_Table[[#This Row],[Capacity_BPD]])</f>
        <v>0.38245461135808789</v>
      </c>
      <c r="S343" s="15">
        <f>Fact_Table[[#This Row],[Diesel_Output_BPD]]/Fact_Table[[#This Row],[Capacity_BPD]]</f>
        <v>0.39511439110457247</v>
      </c>
      <c r="T343" s="15">
        <f>Fact_Table[[#This Row],[Gas_Output_BPD]]/Fact_Table[[#This Row],[Capacity_BPD]]</f>
        <v>0.22242833232055095</v>
      </c>
      <c r="U343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43" s="8">
        <f ca="1">YEAR(TODAY())-Fact_Table[[#This Row],[Commissioned_Year]]</f>
        <v>28</v>
      </c>
      <c r="W343" s="40" cm="1">
        <f t="array" ref="W343">_xlfn.XLOOKUP(Fact_Table[[#This Row],[Commissioned_Year]],cost_table[[#All],[Year]],cost_table[[#All],[Average_Crude_Price_USD_per_Barrel]],"0")</f>
        <v>15</v>
      </c>
      <c r="X343" s="40">
        <f>Fact_Table[[#This Row],[Capacity_BPD]]*Fact_Table[[#This Row],[cost per barrel]]</f>
        <v>11256120</v>
      </c>
    </row>
    <row r="344" spans="1:24" x14ac:dyDescent="0.35">
      <c r="A344" t="s">
        <v>45</v>
      </c>
      <c r="B344" t="s">
        <v>26</v>
      </c>
      <c r="C344" t="s">
        <v>15</v>
      </c>
      <c r="D344" s="5">
        <v>211923</v>
      </c>
      <c r="E344" s="5">
        <v>1990</v>
      </c>
      <c r="F344" s="5">
        <v>1671</v>
      </c>
      <c r="G344" s="3" t="s">
        <v>28</v>
      </c>
      <c r="H344" s="4">
        <v>25.52</v>
      </c>
      <c r="I344" s="4">
        <v>9.64</v>
      </c>
      <c r="J344" s="5">
        <v>70520</v>
      </c>
      <c r="K344" s="5">
        <v>83694</v>
      </c>
      <c r="L344" s="5">
        <v>57708</v>
      </c>
      <c r="M344" s="3" t="s">
        <v>29</v>
      </c>
      <c r="N344" s="10">
        <v>10671</v>
      </c>
      <c r="O344" s="12">
        <f>(Fact_Table[[#This Row],[Petrol_Output_BPD]]+Fact_Table[[#This Row],[Diesel_Output_BPD]]+Fact_Table[[#This Row],[Gas_Output_BPD]])/Fact_Table[[#This Row],[No_of_Employees]]</f>
        <v>126.82345900658288</v>
      </c>
      <c r="P344" s="2" t="str">
        <f>IF(Fact_Table[[#This Row],[0/P Producyivity/Day]]&gt;=1000,"High",IF(Fact_Table[[#This Row],[0/P Producyivity/Day]]&gt;=500,"Medium","Low"))</f>
        <v>Low</v>
      </c>
      <c r="Q344" s="10">
        <f>Fact_Table[[#This Row],[Capacity_BPD]]/Fact_Table[[#This Row],[Average_Salary_AED]]</f>
        <v>19.859713241495644</v>
      </c>
      <c r="R344" s="15">
        <f>(Fact_Table[[#This Row],[Petrol_Output_BPD]]/Fact_Table[[#This Row],[Capacity_BPD]])</f>
        <v>0.33276237123861024</v>
      </c>
      <c r="S344" s="15">
        <f>Fact_Table[[#This Row],[Diesel_Output_BPD]]/Fact_Table[[#This Row],[Capacity_BPD]]</f>
        <v>0.39492645913846069</v>
      </c>
      <c r="T344" s="15">
        <f>Fact_Table[[#This Row],[Gas_Output_BPD]]/Fact_Table[[#This Row],[Capacity_BPD]]</f>
        <v>0.27230645092793138</v>
      </c>
      <c r="U344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44" s="8">
        <f ca="1">YEAR(TODAY())-Fact_Table[[#This Row],[Commissioned_Year]]</f>
        <v>35</v>
      </c>
      <c r="W344" s="40" cm="1">
        <f t="array" ref="W344">_xlfn.XLOOKUP(Fact_Table[[#This Row],[Commissioned_Year]],cost_table[[#All],[Year]],cost_table[[#All],[Average_Crude_Price_USD_per_Barrel]],"0")</f>
        <v>22.3</v>
      </c>
      <c r="X344" s="40">
        <f>Fact_Table[[#This Row],[Capacity_BPD]]*Fact_Table[[#This Row],[cost per barrel]]</f>
        <v>4725882.9000000004</v>
      </c>
    </row>
    <row r="345" spans="1:24" x14ac:dyDescent="0.35">
      <c r="A345" t="s">
        <v>36</v>
      </c>
      <c r="B345" t="s">
        <v>40</v>
      </c>
      <c r="C345" t="s">
        <v>49</v>
      </c>
      <c r="D345" s="5">
        <v>690356</v>
      </c>
      <c r="E345" s="5">
        <v>1990</v>
      </c>
      <c r="F345" s="5">
        <v>1599</v>
      </c>
      <c r="G345" s="3" t="s">
        <v>21</v>
      </c>
      <c r="H345" s="4">
        <v>32.99</v>
      </c>
      <c r="I345" s="4">
        <v>6.53</v>
      </c>
      <c r="J345" s="5">
        <v>308307</v>
      </c>
      <c r="K345" s="5">
        <v>220856</v>
      </c>
      <c r="L345" s="5">
        <v>161191</v>
      </c>
      <c r="M345" s="3" t="s">
        <v>34</v>
      </c>
      <c r="N345" s="10">
        <v>12755</v>
      </c>
      <c r="O345" s="12">
        <f>(Fact_Table[[#This Row],[Petrol_Output_BPD]]+Fact_Table[[#This Row],[Diesel_Output_BPD]]+Fact_Table[[#This Row],[Gas_Output_BPD]])/Fact_Table[[#This Row],[No_of_Employees]]</f>
        <v>431.74108818011257</v>
      </c>
      <c r="P345" s="2" t="str">
        <f>IF(Fact_Table[[#This Row],[0/P Producyivity/Day]]&gt;=1000,"High",IF(Fact_Table[[#This Row],[0/P Producyivity/Day]]&gt;=500,"Medium","Low"))</f>
        <v>Low</v>
      </c>
      <c r="Q345" s="10">
        <f>Fact_Table[[#This Row],[Capacity_BPD]]/Fact_Table[[#This Row],[Average_Salary_AED]]</f>
        <v>54.124343394747157</v>
      </c>
      <c r="R345" s="15">
        <f>(Fact_Table[[#This Row],[Petrol_Output_BPD]]/Fact_Table[[#This Row],[Capacity_BPD]])</f>
        <v>0.44659132389665623</v>
      </c>
      <c r="S345" s="15">
        <f>Fact_Table[[#This Row],[Diesel_Output_BPD]]/Fact_Table[[#This Row],[Capacity_BPD]]</f>
        <v>0.31991610125790171</v>
      </c>
      <c r="T345" s="15">
        <f>Fact_Table[[#This Row],[Gas_Output_BPD]]/Fact_Table[[#This Row],[Capacity_BPD]]</f>
        <v>0.23348967778943039</v>
      </c>
      <c r="U345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45" s="8">
        <f ca="1">YEAR(TODAY())-Fact_Table[[#This Row],[Commissioned_Year]]</f>
        <v>35</v>
      </c>
      <c r="W345" s="40" cm="1">
        <f t="array" ref="W345">_xlfn.XLOOKUP(Fact_Table[[#This Row],[Commissioned_Year]],cost_table[[#All],[Year]],cost_table[[#All],[Average_Crude_Price_USD_per_Barrel]],"0")</f>
        <v>22.3</v>
      </c>
      <c r="X345" s="40">
        <f>Fact_Table[[#This Row],[Capacity_BPD]]*Fact_Table[[#This Row],[cost per barrel]]</f>
        <v>15394938.800000001</v>
      </c>
    </row>
    <row r="346" spans="1:24" x14ac:dyDescent="0.35">
      <c r="A346" t="s">
        <v>60</v>
      </c>
      <c r="B346" t="s">
        <v>41</v>
      </c>
      <c r="C346" t="s">
        <v>15</v>
      </c>
      <c r="D346" s="5">
        <v>564223</v>
      </c>
      <c r="E346" s="5">
        <v>2015</v>
      </c>
      <c r="F346" s="5">
        <v>1436</v>
      </c>
      <c r="G346" s="3" t="s">
        <v>31</v>
      </c>
      <c r="H346" s="4">
        <v>6.74</v>
      </c>
      <c r="I346" s="4">
        <v>9.8000000000000007</v>
      </c>
      <c r="J346" s="5">
        <v>211343</v>
      </c>
      <c r="K346" s="5">
        <v>240970</v>
      </c>
      <c r="L346" s="5">
        <v>111909</v>
      </c>
      <c r="M346" s="3" t="s">
        <v>29</v>
      </c>
      <c r="N346" s="10">
        <v>13055</v>
      </c>
      <c r="O346" s="12">
        <f>(Fact_Table[[#This Row],[Petrol_Output_BPD]]+Fact_Table[[#This Row],[Diesel_Output_BPD]]+Fact_Table[[#This Row],[Gas_Output_BPD]])/Fact_Table[[#This Row],[No_of_Employees]]</f>
        <v>392.91225626740948</v>
      </c>
      <c r="P346" s="2" t="str">
        <f>IF(Fact_Table[[#This Row],[0/P Producyivity/Day]]&gt;=1000,"High",IF(Fact_Table[[#This Row],[0/P Producyivity/Day]]&gt;=500,"Medium","Low"))</f>
        <v>Low</v>
      </c>
      <c r="Q346" s="10">
        <f>Fact_Table[[#This Row],[Capacity_BPD]]/Fact_Table[[#This Row],[Average_Salary_AED]]</f>
        <v>43.218919954040601</v>
      </c>
      <c r="R346" s="15">
        <f>(Fact_Table[[#This Row],[Petrol_Output_BPD]]/Fact_Table[[#This Row],[Capacity_BPD]])</f>
        <v>0.37457352855165421</v>
      </c>
      <c r="S346" s="15">
        <f>Fact_Table[[#This Row],[Diesel_Output_BPD]]/Fact_Table[[#This Row],[Capacity_BPD]]</f>
        <v>0.42708290870808174</v>
      </c>
      <c r="T346" s="15">
        <f>Fact_Table[[#This Row],[Gas_Output_BPD]]/Fact_Table[[#This Row],[Capacity_BPD]]</f>
        <v>0.1983417903913878</v>
      </c>
      <c r="U346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46" s="8">
        <f ca="1">YEAR(TODAY())-Fact_Table[[#This Row],[Commissioned_Year]]</f>
        <v>10</v>
      </c>
      <c r="W346" s="40" cm="1">
        <f t="array" ref="W346">_xlfn.XLOOKUP(Fact_Table[[#This Row],[Commissioned_Year]],cost_table[[#All],[Year]],cost_table[[#All],[Average_Crude_Price_USD_per_Barrel]],"0")</f>
        <v>43.7</v>
      </c>
      <c r="X346" s="40">
        <f>Fact_Table[[#This Row],[Capacity_BPD]]*Fact_Table[[#This Row],[cost per barrel]]</f>
        <v>24656545.100000001</v>
      </c>
    </row>
    <row r="347" spans="1:24" x14ac:dyDescent="0.35">
      <c r="A347" t="s">
        <v>24</v>
      </c>
      <c r="B347" t="s">
        <v>25</v>
      </c>
      <c r="C347" t="s">
        <v>51</v>
      </c>
      <c r="D347" s="5">
        <v>350395</v>
      </c>
      <c r="E347" s="5">
        <v>2015</v>
      </c>
      <c r="F347" s="5">
        <v>1051</v>
      </c>
      <c r="G347" s="3" t="s">
        <v>28</v>
      </c>
      <c r="H347" s="4">
        <v>7.19</v>
      </c>
      <c r="I347" s="4">
        <v>5.22</v>
      </c>
      <c r="J347" s="5">
        <v>131762</v>
      </c>
      <c r="K347" s="5">
        <v>132703</v>
      </c>
      <c r="L347" s="5">
        <v>85929</v>
      </c>
      <c r="M347" s="3" t="s">
        <v>17</v>
      </c>
      <c r="N347" s="10">
        <v>21187</v>
      </c>
      <c r="O347" s="12">
        <f>(Fact_Table[[#This Row],[Petrol_Output_BPD]]+Fact_Table[[#This Row],[Diesel_Output_BPD]]+Fact_Table[[#This Row],[Gas_Output_BPD]])/Fact_Table[[#This Row],[No_of_Employees]]</f>
        <v>333.39105613701236</v>
      </c>
      <c r="P347" s="2" t="str">
        <f>IF(Fact_Table[[#This Row],[0/P Producyivity/Day]]&gt;=1000,"High",IF(Fact_Table[[#This Row],[0/P Producyivity/Day]]&gt;=500,"Medium","Low"))</f>
        <v>Low</v>
      </c>
      <c r="Q347" s="10">
        <f>Fact_Table[[#This Row],[Capacity_BPD]]/Fact_Table[[#This Row],[Average_Salary_AED]]</f>
        <v>16.538207391324868</v>
      </c>
      <c r="R347" s="15">
        <f>(Fact_Table[[#This Row],[Petrol_Output_BPD]]/Fact_Table[[#This Row],[Capacity_BPD]])</f>
        <v>0.37603847086859116</v>
      </c>
      <c r="S347" s="15">
        <f>Fact_Table[[#This Row],[Diesel_Output_BPD]]/Fact_Table[[#This Row],[Capacity_BPD]]</f>
        <v>0.37872401147276646</v>
      </c>
      <c r="T347" s="15">
        <f>Fact_Table[[#This Row],[Gas_Output_BPD]]/Fact_Table[[#This Row],[Capacity_BPD]]</f>
        <v>0.24523466373664007</v>
      </c>
      <c r="U347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47" s="8">
        <f ca="1">YEAR(TODAY())-Fact_Table[[#This Row],[Commissioned_Year]]</f>
        <v>10</v>
      </c>
      <c r="W347" s="40" cm="1">
        <f t="array" ref="W347">_xlfn.XLOOKUP(Fact_Table[[#This Row],[Commissioned_Year]],cost_table[[#All],[Year]],cost_table[[#All],[Average_Crude_Price_USD_per_Barrel]],"0")</f>
        <v>43.7</v>
      </c>
      <c r="X347" s="40">
        <f>Fact_Table[[#This Row],[Capacity_BPD]]*Fact_Table[[#This Row],[cost per barrel]]</f>
        <v>15312261.500000002</v>
      </c>
    </row>
    <row r="348" spans="1:24" x14ac:dyDescent="0.35">
      <c r="A348" t="s">
        <v>60</v>
      </c>
      <c r="B348" t="s">
        <v>19</v>
      </c>
      <c r="C348" t="s">
        <v>33</v>
      </c>
      <c r="D348" s="5">
        <v>695284</v>
      </c>
      <c r="E348" s="5">
        <v>2011</v>
      </c>
      <c r="F348" s="5">
        <v>1034</v>
      </c>
      <c r="G348" s="3" t="s">
        <v>21</v>
      </c>
      <c r="H348" s="4">
        <v>13.47</v>
      </c>
      <c r="I348" s="4">
        <v>9.51</v>
      </c>
      <c r="J348" s="5">
        <v>276155</v>
      </c>
      <c r="K348" s="5">
        <v>288949</v>
      </c>
      <c r="L348" s="5">
        <v>130178</v>
      </c>
      <c r="M348" s="3" t="s">
        <v>17</v>
      </c>
      <c r="N348" s="10">
        <v>9518</v>
      </c>
      <c r="O348" s="12">
        <f>(Fact_Table[[#This Row],[Petrol_Output_BPD]]+Fact_Table[[#This Row],[Diesel_Output_BPD]]+Fact_Table[[#This Row],[Gas_Output_BPD]])/Fact_Table[[#This Row],[No_of_Employees]]</f>
        <v>672.41972920696321</v>
      </c>
      <c r="P348" s="2" t="str">
        <f>IF(Fact_Table[[#This Row],[0/P Producyivity/Day]]&gt;=1000,"High",IF(Fact_Table[[#This Row],[0/P Producyivity/Day]]&gt;=500,"Medium","Low"))</f>
        <v>Medium</v>
      </c>
      <c r="Q348" s="10">
        <f>Fact_Table[[#This Row],[Capacity_BPD]]/Fact_Table[[#This Row],[Average_Salary_AED]]</f>
        <v>73.04938012187435</v>
      </c>
      <c r="R348" s="15">
        <f>(Fact_Table[[#This Row],[Petrol_Output_BPD]]/Fact_Table[[#This Row],[Capacity_BPD]])</f>
        <v>0.39718302161418934</v>
      </c>
      <c r="S348" s="15">
        <f>Fact_Table[[#This Row],[Diesel_Output_BPD]]/Fact_Table[[#This Row],[Capacity_BPD]]</f>
        <v>0.4155841354036624</v>
      </c>
      <c r="T348" s="15">
        <f>Fact_Table[[#This Row],[Gas_Output_BPD]]/Fact_Table[[#This Row],[Capacity_BPD]]</f>
        <v>0.18722996645974882</v>
      </c>
      <c r="U348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48" s="8">
        <f ca="1">YEAR(TODAY())-Fact_Table[[#This Row],[Commissioned_Year]]</f>
        <v>14</v>
      </c>
      <c r="W348" s="40" cm="1">
        <f t="array" ref="W348">_xlfn.XLOOKUP(Fact_Table[[#This Row],[Commissioned_Year]],cost_table[[#All],[Year]],cost_table[[#All],[Average_Crude_Price_USD_per_Barrel]],"0")</f>
        <v>66.099999999999994</v>
      </c>
      <c r="X348" s="40">
        <f>Fact_Table[[#This Row],[Capacity_BPD]]*Fact_Table[[#This Row],[cost per barrel]]</f>
        <v>45958272.399999999</v>
      </c>
    </row>
    <row r="349" spans="1:24" x14ac:dyDescent="0.35">
      <c r="A349" t="s">
        <v>27</v>
      </c>
      <c r="B349" t="s">
        <v>40</v>
      </c>
      <c r="C349" t="s">
        <v>20</v>
      </c>
      <c r="D349" s="5">
        <v>638230</v>
      </c>
      <c r="E349" s="5">
        <v>1994</v>
      </c>
      <c r="F349" s="5">
        <v>1313</v>
      </c>
      <c r="G349" s="3" t="s">
        <v>28</v>
      </c>
      <c r="H349" s="4">
        <v>30.43</v>
      </c>
      <c r="I349" s="4">
        <v>7.18</v>
      </c>
      <c r="J349" s="5">
        <v>226417</v>
      </c>
      <c r="K349" s="5">
        <v>255084</v>
      </c>
      <c r="L349" s="5">
        <v>156728</v>
      </c>
      <c r="M349" s="3" t="s">
        <v>38</v>
      </c>
      <c r="N349" s="10">
        <v>11613</v>
      </c>
      <c r="O349" s="12">
        <f>(Fact_Table[[#This Row],[Petrol_Output_BPD]]+Fact_Table[[#This Row],[Diesel_Output_BPD]]+Fact_Table[[#This Row],[Gas_Output_BPD]])/Fact_Table[[#This Row],[No_of_Employees]]</f>
        <v>486.08453922315306</v>
      </c>
      <c r="P349" s="2" t="str">
        <f>IF(Fact_Table[[#This Row],[0/P Producyivity/Day]]&gt;=1000,"High",IF(Fact_Table[[#This Row],[0/P Producyivity/Day]]&gt;=500,"Medium","Low"))</f>
        <v>Low</v>
      </c>
      <c r="Q349" s="10">
        <f>Fact_Table[[#This Row],[Capacity_BPD]]/Fact_Table[[#This Row],[Average_Salary_AED]]</f>
        <v>54.958236459140615</v>
      </c>
      <c r="R349" s="15">
        <f>(Fact_Table[[#This Row],[Petrol_Output_BPD]]/Fact_Table[[#This Row],[Capacity_BPD]])</f>
        <v>0.35475768923428858</v>
      </c>
      <c r="S349" s="15">
        <f>Fact_Table[[#This Row],[Diesel_Output_BPD]]/Fact_Table[[#This Row],[Capacity_BPD]]</f>
        <v>0.39967409867915954</v>
      </c>
      <c r="T349" s="15">
        <f>Fact_Table[[#This Row],[Gas_Output_BPD]]/Fact_Table[[#This Row],[Capacity_BPD]]</f>
        <v>0.24556664525327859</v>
      </c>
      <c r="U349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49" s="8">
        <f ca="1">YEAR(TODAY())-Fact_Table[[#This Row],[Commissioned_Year]]</f>
        <v>31</v>
      </c>
      <c r="W349" s="40" cm="1">
        <f t="array" ref="W349">_xlfn.XLOOKUP(Fact_Table[[#This Row],[Commissioned_Year]],cost_table[[#All],[Year]],cost_table[[#All],[Average_Crude_Price_USD_per_Barrel]],"0")</f>
        <v>15.9</v>
      </c>
      <c r="X349" s="40">
        <f>Fact_Table[[#This Row],[Capacity_BPD]]*Fact_Table[[#This Row],[cost per barrel]]</f>
        <v>10147857</v>
      </c>
    </row>
    <row r="350" spans="1:24" x14ac:dyDescent="0.35">
      <c r="A350" t="s">
        <v>22</v>
      </c>
      <c r="B350" t="s">
        <v>26</v>
      </c>
      <c r="C350" t="s">
        <v>33</v>
      </c>
      <c r="D350" s="5">
        <v>302840</v>
      </c>
      <c r="E350" s="5">
        <v>2001</v>
      </c>
      <c r="F350" s="5">
        <v>1938</v>
      </c>
      <c r="G350" s="3" t="s">
        <v>21</v>
      </c>
      <c r="H350" s="4">
        <v>34.43</v>
      </c>
      <c r="I350" s="4">
        <v>7.73</v>
      </c>
      <c r="J350" s="5">
        <v>111781</v>
      </c>
      <c r="K350" s="5">
        <v>139363</v>
      </c>
      <c r="L350" s="5">
        <v>51694</v>
      </c>
      <c r="M350" s="3" t="s">
        <v>23</v>
      </c>
      <c r="N350" s="10">
        <v>8780</v>
      </c>
      <c r="O350" s="12">
        <f>(Fact_Table[[#This Row],[Petrol_Output_BPD]]+Fact_Table[[#This Row],[Diesel_Output_BPD]]+Fact_Table[[#This Row],[Gas_Output_BPD]])/Fact_Table[[#This Row],[No_of_Employees]]</f>
        <v>156.26315789473685</v>
      </c>
      <c r="P350" s="2" t="str">
        <f>IF(Fact_Table[[#This Row],[0/P Producyivity/Day]]&gt;=1000,"High",IF(Fact_Table[[#This Row],[0/P Producyivity/Day]]&gt;=500,"Medium","Low"))</f>
        <v>Low</v>
      </c>
      <c r="Q350" s="10">
        <f>Fact_Table[[#This Row],[Capacity_BPD]]/Fact_Table[[#This Row],[Average_Salary_AED]]</f>
        <v>34.492027334851933</v>
      </c>
      <c r="R350" s="15">
        <f>(Fact_Table[[#This Row],[Petrol_Output_BPD]]/Fact_Table[[#This Row],[Capacity_BPD]])</f>
        <v>0.36910910051512352</v>
      </c>
      <c r="S350" s="15">
        <f>Fact_Table[[#This Row],[Diesel_Output_BPD]]/Fact_Table[[#This Row],[Capacity_BPD]]</f>
        <v>0.46018689737154933</v>
      </c>
      <c r="T350" s="15">
        <f>Fact_Table[[#This Row],[Gas_Output_BPD]]/Fact_Table[[#This Row],[Capacity_BPD]]</f>
        <v>0.17069739796592259</v>
      </c>
      <c r="U350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50" s="8">
        <f ca="1">YEAR(TODAY())-Fact_Table[[#This Row],[Commissioned_Year]]</f>
        <v>24</v>
      </c>
      <c r="W350" s="40" cm="1">
        <f t="array" ref="W350">_xlfn.XLOOKUP(Fact_Table[[#This Row],[Commissioned_Year]],cost_table[[#All],[Year]],cost_table[[#All],[Average_Crude_Price_USD_per_Barrel]],"0")</f>
        <v>28.4</v>
      </c>
      <c r="X350" s="40">
        <f>Fact_Table[[#This Row],[Capacity_BPD]]*Fact_Table[[#This Row],[cost per barrel]]</f>
        <v>8600656</v>
      </c>
    </row>
    <row r="351" spans="1:24" x14ac:dyDescent="0.35">
      <c r="A351" t="s">
        <v>36</v>
      </c>
      <c r="B351" t="s">
        <v>32</v>
      </c>
      <c r="C351" t="s">
        <v>46</v>
      </c>
      <c r="D351" s="5">
        <v>575160</v>
      </c>
      <c r="E351" s="5">
        <v>2021</v>
      </c>
      <c r="F351" s="5">
        <v>851</v>
      </c>
      <c r="G351" s="3" t="s">
        <v>31</v>
      </c>
      <c r="H351" s="4">
        <v>16.54</v>
      </c>
      <c r="I351" s="4">
        <v>5.57</v>
      </c>
      <c r="J351" s="5">
        <v>192057</v>
      </c>
      <c r="K351" s="5">
        <v>289468</v>
      </c>
      <c r="L351" s="5">
        <v>93634</v>
      </c>
      <c r="M351" s="3" t="s">
        <v>29</v>
      </c>
      <c r="N351" s="10">
        <v>14102</v>
      </c>
      <c r="O351" s="12">
        <f>(Fact_Table[[#This Row],[Petrol_Output_BPD]]+Fact_Table[[#This Row],[Diesel_Output_BPD]]+Fact_Table[[#This Row],[Gas_Output_BPD]])/Fact_Table[[#This Row],[No_of_Employees]]</f>
        <v>675.86251468860166</v>
      </c>
      <c r="P351" s="2" t="str">
        <f>IF(Fact_Table[[#This Row],[0/P Producyivity/Day]]&gt;=1000,"High",IF(Fact_Table[[#This Row],[0/P Producyivity/Day]]&gt;=500,"Medium","Low"))</f>
        <v>Medium</v>
      </c>
      <c r="Q351" s="10">
        <f>Fact_Table[[#This Row],[Capacity_BPD]]/Fact_Table[[#This Row],[Average_Salary_AED]]</f>
        <v>40.785704155438943</v>
      </c>
      <c r="R351" s="15">
        <f>(Fact_Table[[#This Row],[Petrol_Output_BPD]]/Fact_Table[[#This Row],[Capacity_BPD]])</f>
        <v>0.33391925725015648</v>
      </c>
      <c r="S351" s="15">
        <f>Fact_Table[[#This Row],[Diesel_Output_BPD]]/Fact_Table[[#This Row],[Capacity_BPD]]</f>
        <v>0.50328256485151956</v>
      </c>
      <c r="T351" s="15">
        <f>Fact_Table[[#This Row],[Gas_Output_BPD]]/Fact_Table[[#This Row],[Capacity_BPD]]</f>
        <v>0.16279643925168649</v>
      </c>
      <c r="U35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51" s="8">
        <f ca="1">YEAR(TODAY())-Fact_Table[[#This Row],[Commissioned_Year]]</f>
        <v>4</v>
      </c>
      <c r="W351" s="40" cm="1">
        <f t="array" ref="W351">_xlfn.XLOOKUP(Fact_Table[[#This Row],[Commissioned_Year]],cost_table[[#All],[Year]],cost_table[[#All],[Average_Crude_Price_USD_per_Barrel]],"0")</f>
        <v>54.2</v>
      </c>
      <c r="X351" s="40">
        <f>Fact_Table[[#This Row],[Capacity_BPD]]*Fact_Table[[#This Row],[cost per barrel]]</f>
        <v>31173672</v>
      </c>
    </row>
    <row r="352" spans="1:24" x14ac:dyDescent="0.35">
      <c r="A352" t="s">
        <v>22</v>
      </c>
      <c r="B352" t="s">
        <v>41</v>
      </c>
      <c r="C352" t="s">
        <v>33</v>
      </c>
      <c r="D352" s="5">
        <v>575469</v>
      </c>
      <c r="E352" s="5">
        <v>2016</v>
      </c>
      <c r="F352" s="5">
        <v>1309</v>
      </c>
      <c r="G352" s="3" t="s">
        <v>28</v>
      </c>
      <c r="H352" s="4">
        <v>15.01</v>
      </c>
      <c r="I352" s="4">
        <v>8.01</v>
      </c>
      <c r="J352" s="5">
        <v>210911</v>
      </c>
      <c r="K352" s="5">
        <v>252064</v>
      </c>
      <c r="L352" s="5">
        <v>112493</v>
      </c>
      <c r="M352" s="3" t="s">
        <v>17</v>
      </c>
      <c r="N352" s="10">
        <v>17987</v>
      </c>
      <c r="O352" s="12">
        <f>(Fact_Table[[#This Row],[Petrol_Output_BPD]]+Fact_Table[[#This Row],[Diesel_Output_BPD]]+Fact_Table[[#This Row],[Gas_Output_BPD]])/Fact_Table[[#This Row],[No_of_Employees]]</f>
        <v>439.62414056531702</v>
      </c>
      <c r="P352" s="2" t="str">
        <f>IF(Fact_Table[[#This Row],[0/P Producyivity/Day]]&gt;=1000,"High",IF(Fact_Table[[#This Row],[0/P Producyivity/Day]]&gt;=500,"Medium","Low"))</f>
        <v>Low</v>
      </c>
      <c r="Q352" s="10">
        <f>Fact_Table[[#This Row],[Capacity_BPD]]/Fact_Table[[#This Row],[Average_Salary_AED]]</f>
        <v>31.993606493578696</v>
      </c>
      <c r="R352" s="15">
        <f>(Fact_Table[[#This Row],[Petrol_Output_BPD]]/Fact_Table[[#This Row],[Capacity_BPD]])</f>
        <v>0.3665028003246048</v>
      </c>
      <c r="S352" s="15">
        <f>Fact_Table[[#This Row],[Diesel_Output_BPD]]/Fact_Table[[#This Row],[Capacity_BPD]]</f>
        <v>0.43801490610267452</v>
      </c>
      <c r="T352" s="15">
        <f>Fact_Table[[#This Row],[Gas_Output_BPD]]/Fact_Table[[#This Row],[Capacity_BPD]]</f>
        <v>0.19548055585965535</v>
      </c>
      <c r="U352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52" s="8">
        <f ca="1">YEAR(TODAY())-Fact_Table[[#This Row],[Commissioned_Year]]</f>
        <v>9</v>
      </c>
      <c r="W352" s="40" cm="1">
        <f t="array" ref="W352">_xlfn.XLOOKUP(Fact_Table[[#This Row],[Commissioned_Year]],cost_table[[#All],[Year]],cost_table[[#All],[Average_Crude_Price_USD_per_Barrel]],"0")</f>
        <v>54.2</v>
      </c>
      <c r="X352" s="40">
        <f>Fact_Table[[#This Row],[Capacity_BPD]]*Fact_Table[[#This Row],[cost per barrel]]</f>
        <v>31190419.800000001</v>
      </c>
    </row>
    <row r="353" spans="1:24" x14ac:dyDescent="0.35">
      <c r="A353" t="s">
        <v>37</v>
      </c>
      <c r="B353" t="s">
        <v>25</v>
      </c>
      <c r="C353" t="s">
        <v>48</v>
      </c>
      <c r="D353" s="5">
        <v>718979</v>
      </c>
      <c r="E353" s="5">
        <v>1987</v>
      </c>
      <c r="F353" s="5">
        <v>927</v>
      </c>
      <c r="G353" s="3" t="s">
        <v>31</v>
      </c>
      <c r="H353" s="4">
        <v>19.89</v>
      </c>
      <c r="I353" s="4">
        <v>8.32</v>
      </c>
      <c r="J353" s="5">
        <v>296333</v>
      </c>
      <c r="K353" s="5">
        <v>315981</v>
      </c>
      <c r="L353" s="5">
        <v>106663</v>
      </c>
      <c r="M353" s="3" t="s">
        <v>23</v>
      </c>
      <c r="N353" s="10">
        <v>9057</v>
      </c>
      <c r="O353" s="12">
        <f>(Fact_Table[[#This Row],[Petrol_Output_BPD]]+Fact_Table[[#This Row],[Diesel_Output_BPD]]+Fact_Table[[#This Row],[Gas_Output_BPD]])/Fact_Table[[#This Row],[No_of_Employees]]</f>
        <v>775.59546925566337</v>
      </c>
      <c r="P353" s="2" t="str">
        <f>IF(Fact_Table[[#This Row],[0/P Producyivity/Day]]&gt;=1000,"High",IF(Fact_Table[[#This Row],[0/P Producyivity/Day]]&gt;=500,"Medium","Low"))</f>
        <v>Medium</v>
      </c>
      <c r="Q353" s="10">
        <f>Fact_Table[[#This Row],[Capacity_BPD]]/Fact_Table[[#This Row],[Average_Salary_AED]]</f>
        <v>79.383791542453352</v>
      </c>
      <c r="R353" s="15">
        <f>(Fact_Table[[#This Row],[Petrol_Output_BPD]]/Fact_Table[[#This Row],[Capacity_BPD]])</f>
        <v>0.41215807415793787</v>
      </c>
      <c r="S353" s="15">
        <f>Fact_Table[[#This Row],[Diesel_Output_BPD]]/Fact_Table[[#This Row],[Capacity_BPD]]</f>
        <v>0.43948571515996993</v>
      </c>
      <c r="T353" s="15">
        <f>Fact_Table[[#This Row],[Gas_Output_BPD]]/Fact_Table[[#This Row],[Capacity_BPD]]</f>
        <v>0.14835342895967754</v>
      </c>
      <c r="U353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53" s="8">
        <f ca="1">YEAR(TODAY())-Fact_Table[[#This Row],[Commissioned_Year]]</f>
        <v>38</v>
      </c>
      <c r="W353" s="40" cm="1">
        <f t="array" ref="W353">_xlfn.XLOOKUP(Fact_Table[[#This Row],[Commissioned_Year]],cost_table[[#All],[Year]],cost_table[[#All],[Average_Crude_Price_USD_per_Barrel]],"0")</f>
        <v>18.399999999999999</v>
      </c>
      <c r="X353" s="40">
        <f>Fact_Table[[#This Row],[Capacity_BPD]]*Fact_Table[[#This Row],[cost per barrel]]</f>
        <v>13229213.6</v>
      </c>
    </row>
    <row r="354" spans="1:24" x14ac:dyDescent="0.35">
      <c r="A354" t="s">
        <v>22</v>
      </c>
      <c r="B354" t="s">
        <v>26</v>
      </c>
      <c r="C354" t="s">
        <v>46</v>
      </c>
      <c r="D354" s="5">
        <v>53318</v>
      </c>
      <c r="E354" s="5">
        <v>2022</v>
      </c>
      <c r="F354" s="5">
        <v>1299</v>
      </c>
      <c r="G354" s="3" t="s">
        <v>21</v>
      </c>
      <c r="H354" s="4">
        <v>13.04</v>
      </c>
      <c r="I354" s="4">
        <v>5.69</v>
      </c>
      <c r="J354" s="5">
        <v>23021</v>
      </c>
      <c r="K354" s="5">
        <v>23646</v>
      </c>
      <c r="L354" s="5">
        <v>6650</v>
      </c>
      <c r="M354" s="3" t="s">
        <v>29</v>
      </c>
      <c r="N354" s="10">
        <v>15333</v>
      </c>
      <c r="O354" s="12">
        <f>(Fact_Table[[#This Row],[Petrol_Output_BPD]]+Fact_Table[[#This Row],[Diesel_Output_BPD]]+Fact_Table[[#This Row],[Gas_Output_BPD]])/Fact_Table[[#This Row],[No_of_Employees]]</f>
        <v>41.044649730561972</v>
      </c>
      <c r="P354" s="2" t="str">
        <f>IF(Fact_Table[[#This Row],[0/P Producyivity/Day]]&gt;=1000,"High",IF(Fact_Table[[#This Row],[0/P Producyivity/Day]]&gt;=500,"Medium","Low"))</f>
        <v>Low</v>
      </c>
      <c r="Q354" s="10">
        <f>Fact_Table[[#This Row],[Capacity_BPD]]/Fact_Table[[#This Row],[Average_Salary_AED]]</f>
        <v>3.4773364638361706</v>
      </c>
      <c r="R354" s="15">
        <f>(Fact_Table[[#This Row],[Petrol_Output_BPD]]/Fact_Table[[#This Row],[Capacity_BPD]])</f>
        <v>0.43176788326643911</v>
      </c>
      <c r="S354" s="15">
        <f>Fact_Table[[#This Row],[Diesel_Output_BPD]]/Fact_Table[[#This Row],[Capacity_BPD]]</f>
        <v>0.44349000337597061</v>
      </c>
      <c r="T354" s="15">
        <f>Fact_Table[[#This Row],[Gas_Output_BPD]]/Fact_Table[[#This Row],[Capacity_BPD]]</f>
        <v>0.12472335796541506</v>
      </c>
      <c r="U354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54" s="8">
        <f ca="1">YEAR(TODAY())-Fact_Table[[#This Row],[Commissioned_Year]]</f>
        <v>3</v>
      </c>
      <c r="W354" s="40" cm="1">
        <f t="array" ref="W354">_xlfn.XLOOKUP(Fact_Table[[#This Row],[Commissioned_Year]],cost_table[[#All],[Year]],cost_table[[#All],[Average_Crude_Price_USD_per_Barrel]],"0")</f>
        <v>71.3</v>
      </c>
      <c r="X354" s="40">
        <f>Fact_Table[[#This Row],[Capacity_BPD]]*Fact_Table[[#This Row],[cost per barrel]]</f>
        <v>3801573.4</v>
      </c>
    </row>
    <row r="355" spans="1:24" x14ac:dyDescent="0.35">
      <c r="A355" t="s">
        <v>22</v>
      </c>
      <c r="B355" t="s">
        <v>40</v>
      </c>
      <c r="C355" t="s">
        <v>48</v>
      </c>
      <c r="D355" s="5">
        <v>667066</v>
      </c>
      <c r="E355" s="5">
        <v>1991</v>
      </c>
      <c r="F355" s="5">
        <v>1504</v>
      </c>
      <c r="G355" s="3" t="s">
        <v>16</v>
      </c>
      <c r="H355" s="4">
        <v>7.06</v>
      </c>
      <c r="I355" s="4">
        <v>9.06</v>
      </c>
      <c r="J355" s="5">
        <v>239967</v>
      </c>
      <c r="K355" s="5">
        <v>282540</v>
      </c>
      <c r="L355" s="5">
        <v>144558</v>
      </c>
      <c r="M355" s="3" t="s">
        <v>38</v>
      </c>
      <c r="N355" s="10">
        <v>11704</v>
      </c>
      <c r="O355" s="12">
        <f>(Fact_Table[[#This Row],[Petrol_Output_BPD]]+Fact_Table[[#This Row],[Diesel_Output_BPD]]+Fact_Table[[#This Row],[Gas_Output_BPD]])/Fact_Table[[#This Row],[No_of_Employees]]</f>
        <v>443.52726063829789</v>
      </c>
      <c r="P355" s="2" t="str">
        <f>IF(Fact_Table[[#This Row],[0/P Producyivity/Day]]&gt;=1000,"High",IF(Fact_Table[[#This Row],[0/P Producyivity/Day]]&gt;=500,"Medium","Low"))</f>
        <v>Low</v>
      </c>
      <c r="Q355" s="10">
        <f>Fact_Table[[#This Row],[Capacity_BPD]]/Fact_Table[[#This Row],[Average_Salary_AED]]</f>
        <v>56.994702665755298</v>
      </c>
      <c r="R355" s="15">
        <f>(Fact_Table[[#This Row],[Petrol_Output_BPD]]/Fact_Table[[#This Row],[Capacity_BPD]])</f>
        <v>0.35973501872378444</v>
      </c>
      <c r="S355" s="15">
        <f>Fact_Table[[#This Row],[Diesel_Output_BPD]]/Fact_Table[[#This Row],[Capacity_BPD]]</f>
        <v>0.42355628978242033</v>
      </c>
      <c r="T355" s="15">
        <f>Fact_Table[[#This Row],[Gas_Output_BPD]]/Fact_Table[[#This Row],[Capacity_BPD]]</f>
        <v>0.21670719239175734</v>
      </c>
      <c r="U355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55" s="8">
        <f ca="1">YEAR(TODAY())-Fact_Table[[#This Row],[Commissioned_Year]]</f>
        <v>34</v>
      </c>
      <c r="W355" s="40" cm="1">
        <f t="array" ref="W355">_xlfn.XLOOKUP(Fact_Table[[#This Row],[Commissioned_Year]],cost_table[[#All],[Year]],cost_table[[#All],[Average_Crude_Price_USD_per_Barrel]],"0")</f>
        <v>18.399999999999999</v>
      </c>
      <c r="X355" s="40">
        <f>Fact_Table[[#This Row],[Capacity_BPD]]*Fact_Table[[#This Row],[cost per barrel]]</f>
        <v>12274014.399999999</v>
      </c>
    </row>
    <row r="356" spans="1:24" x14ac:dyDescent="0.35">
      <c r="A356" t="s">
        <v>24</v>
      </c>
      <c r="B356" t="s">
        <v>40</v>
      </c>
      <c r="C356" t="s">
        <v>15</v>
      </c>
      <c r="D356" s="5">
        <v>776076</v>
      </c>
      <c r="E356" s="5">
        <v>1983</v>
      </c>
      <c r="F356" s="5">
        <v>740</v>
      </c>
      <c r="G356" s="3" t="s">
        <v>16</v>
      </c>
      <c r="H356" s="4">
        <v>31.79</v>
      </c>
      <c r="I356" s="4">
        <v>8</v>
      </c>
      <c r="J356" s="5">
        <v>370444</v>
      </c>
      <c r="K356" s="5">
        <v>278807</v>
      </c>
      <c r="L356" s="5">
        <v>126823</v>
      </c>
      <c r="M356" s="3" t="s">
        <v>38</v>
      </c>
      <c r="N356" s="10">
        <v>19992</v>
      </c>
      <c r="O356" s="12">
        <f>(Fact_Table[[#This Row],[Petrol_Output_BPD]]+Fact_Table[[#This Row],[Diesel_Output_BPD]]+Fact_Table[[#This Row],[Gas_Output_BPD]])/Fact_Table[[#This Row],[No_of_Employees]]</f>
        <v>1048.7486486486487</v>
      </c>
      <c r="P356" s="2" t="str">
        <f>IF(Fact_Table[[#This Row],[0/P Producyivity/Day]]&gt;=1000,"High",IF(Fact_Table[[#This Row],[0/P Producyivity/Day]]&gt;=500,"Medium","Low"))</f>
        <v>High</v>
      </c>
      <c r="Q356" s="10">
        <f>Fact_Table[[#This Row],[Capacity_BPD]]/Fact_Table[[#This Row],[Average_Salary_AED]]</f>
        <v>38.819327731092436</v>
      </c>
      <c r="R356" s="15">
        <f>(Fact_Table[[#This Row],[Petrol_Output_BPD]]/Fact_Table[[#This Row],[Capacity_BPD]])</f>
        <v>0.47732953989042309</v>
      </c>
      <c r="S356" s="15">
        <f>Fact_Table[[#This Row],[Diesel_Output_BPD]]/Fact_Table[[#This Row],[Capacity_BPD]]</f>
        <v>0.35925218664151448</v>
      </c>
      <c r="T356" s="15">
        <f>Fact_Table[[#This Row],[Gas_Output_BPD]]/Fact_Table[[#This Row],[Capacity_BPD]]</f>
        <v>0.16341569640086795</v>
      </c>
      <c r="U356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56" s="8">
        <f ca="1">YEAR(TODAY())-Fact_Table[[#This Row],[Commissioned_Year]]</f>
        <v>42</v>
      </c>
      <c r="W356" s="40" cm="1">
        <f t="array" ref="W356">_xlfn.XLOOKUP(Fact_Table[[#This Row],[Commissioned_Year]],cost_table[[#All],[Year]],cost_table[[#All],[Average_Crude_Price_USD_per_Barrel]],"0")</f>
        <v>29</v>
      </c>
      <c r="X356" s="40">
        <f>Fact_Table[[#This Row],[Capacity_BPD]]*Fact_Table[[#This Row],[cost per barrel]]</f>
        <v>22506204</v>
      </c>
    </row>
    <row r="357" spans="1:24" x14ac:dyDescent="0.35">
      <c r="A357" t="s">
        <v>60</v>
      </c>
      <c r="B357" t="s">
        <v>25</v>
      </c>
      <c r="C357" t="s">
        <v>46</v>
      </c>
      <c r="D357" s="5">
        <v>298574</v>
      </c>
      <c r="E357" s="5">
        <v>2006</v>
      </c>
      <c r="F357" s="5">
        <v>2144</v>
      </c>
      <c r="G357" s="3" t="s">
        <v>21</v>
      </c>
      <c r="H357" s="4">
        <v>15.74</v>
      </c>
      <c r="I357" s="4">
        <v>9.6199999999999992</v>
      </c>
      <c r="J357" s="5">
        <v>87769</v>
      </c>
      <c r="K357" s="5">
        <v>130662</v>
      </c>
      <c r="L357" s="5">
        <v>80141</v>
      </c>
      <c r="M357" s="3" t="s">
        <v>17</v>
      </c>
      <c r="N357" s="10">
        <v>9506</v>
      </c>
      <c r="O357" s="12">
        <f>(Fact_Table[[#This Row],[Petrol_Output_BPD]]+Fact_Table[[#This Row],[Diesel_Output_BPD]]+Fact_Table[[#This Row],[Gas_Output_BPD]])/Fact_Table[[#This Row],[No_of_Employees]]</f>
        <v>139.25932835820896</v>
      </c>
      <c r="P357" s="2" t="str">
        <f>IF(Fact_Table[[#This Row],[0/P Producyivity/Day]]&gt;=1000,"High",IF(Fact_Table[[#This Row],[0/P Producyivity/Day]]&gt;=500,"Medium","Low"))</f>
        <v>Low</v>
      </c>
      <c r="Q357" s="10">
        <f>Fact_Table[[#This Row],[Capacity_BPD]]/Fact_Table[[#This Row],[Average_Salary_AED]]</f>
        <v>31.409004839049022</v>
      </c>
      <c r="R357" s="15">
        <f>(Fact_Table[[#This Row],[Petrol_Output_BPD]]/Fact_Table[[#This Row],[Capacity_BPD]])</f>
        <v>0.29396062617642527</v>
      </c>
      <c r="S357" s="15">
        <f>Fact_Table[[#This Row],[Diesel_Output_BPD]]/Fact_Table[[#This Row],[Capacity_BPD]]</f>
        <v>0.43762015446756919</v>
      </c>
      <c r="T357" s="15">
        <f>Fact_Table[[#This Row],[Gas_Output_BPD]]/Fact_Table[[#This Row],[Capacity_BPD]]</f>
        <v>0.26841252084910272</v>
      </c>
      <c r="U357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57" s="8">
        <f ca="1">YEAR(TODAY())-Fact_Table[[#This Row],[Commissioned_Year]]</f>
        <v>19</v>
      </c>
      <c r="W357" s="40" cm="1">
        <f t="array" ref="W357">_xlfn.XLOOKUP(Fact_Table[[#This Row],[Commissioned_Year]],cost_table[[#All],[Year]],cost_table[[#All],[Average_Crude_Price_USD_per_Barrel]],"0")</f>
        <v>28.8</v>
      </c>
      <c r="X357" s="40">
        <f>Fact_Table[[#This Row],[Capacity_BPD]]*Fact_Table[[#This Row],[cost per barrel]]</f>
        <v>8598931.2000000011</v>
      </c>
    </row>
    <row r="358" spans="1:24" x14ac:dyDescent="0.35">
      <c r="A358" t="s">
        <v>30</v>
      </c>
      <c r="B358" t="s">
        <v>25</v>
      </c>
      <c r="C358" t="s">
        <v>51</v>
      </c>
      <c r="D358" s="5">
        <v>795920</v>
      </c>
      <c r="E358" s="5">
        <v>1980</v>
      </c>
      <c r="F358" s="5">
        <v>2379</v>
      </c>
      <c r="G358" s="3" t="s">
        <v>31</v>
      </c>
      <c r="H358" s="4">
        <v>23.32</v>
      </c>
      <c r="I358" s="4">
        <v>6.94</v>
      </c>
      <c r="J358" s="5">
        <v>320263</v>
      </c>
      <c r="K358" s="5">
        <v>354658</v>
      </c>
      <c r="L358" s="5">
        <v>120998</v>
      </c>
      <c r="M358" s="3" t="s">
        <v>38</v>
      </c>
      <c r="N358" s="10">
        <v>21437</v>
      </c>
      <c r="O358" s="12">
        <f>(Fact_Table[[#This Row],[Petrol_Output_BPD]]+Fact_Table[[#This Row],[Diesel_Output_BPD]]+Fact_Table[[#This Row],[Gas_Output_BPD]])/Fact_Table[[#This Row],[No_of_Employees]]</f>
        <v>334.56031946195878</v>
      </c>
      <c r="P358" s="2" t="str">
        <f>IF(Fact_Table[[#This Row],[0/P Producyivity/Day]]&gt;=1000,"High",IF(Fact_Table[[#This Row],[0/P Producyivity/Day]]&gt;=500,"Medium","Low"))</f>
        <v>Low</v>
      </c>
      <c r="Q358" s="10">
        <f>Fact_Table[[#This Row],[Capacity_BPD]]/Fact_Table[[#This Row],[Average_Salary_AED]]</f>
        <v>37.128329523720673</v>
      </c>
      <c r="R358" s="15">
        <f>(Fact_Table[[#This Row],[Petrol_Output_BPD]]/Fact_Table[[#This Row],[Capacity_BPD]])</f>
        <v>0.40238089255201526</v>
      </c>
      <c r="S358" s="15">
        <f>Fact_Table[[#This Row],[Diesel_Output_BPD]]/Fact_Table[[#This Row],[Capacity_BPD]]</f>
        <v>0.44559503467685196</v>
      </c>
      <c r="T358" s="15">
        <f>Fact_Table[[#This Row],[Gas_Output_BPD]]/Fact_Table[[#This Row],[Capacity_BPD]]</f>
        <v>0.15202281636345361</v>
      </c>
      <c r="U35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58" s="8">
        <f ca="1">YEAR(TODAY())-Fact_Table[[#This Row],[Commissioned_Year]]</f>
        <v>45</v>
      </c>
      <c r="W358" s="40" cm="1">
        <f t="array" ref="W358">_xlfn.XLOOKUP(Fact_Table[[#This Row],[Commissioned_Year]],cost_table[[#All],[Year]],cost_table[[#All],[Average_Crude_Price_USD_per_Barrel]],"0")</f>
        <v>36.799999999999997</v>
      </c>
      <c r="X358" s="40">
        <f>Fact_Table[[#This Row],[Capacity_BPD]]*Fact_Table[[#This Row],[cost per barrel]]</f>
        <v>29289855.999999996</v>
      </c>
    </row>
    <row r="359" spans="1:24" x14ac:dyDescent="0.35">
      <c r="A359" t="s">
        <v>22</v>
      </c>
      <c r="B359" t="s">
        <v>40</v>
      </c>
      <c r="C359" t="s">
        <v>48</v>
      </c>
      <c r="D359" s="5">
        <v>67561</v>
      </c>
      <c r="E359" s="5">
        <v>1980</v>
      </c>
      <c r="F359" s="5">
        <v>408</v>
      </c>
      <c r="G359" s="3" t="s">
        <v>31</v>
      </c>
      <c r="H359" s="4">
        <v>11.33</v>
      </c>
      <c r="I359" s="4">
        <v>8.57</v>
      </c>
      <c r="J359" s="5">
        <v>30512</v>
      </c>
      <c r="K359" s="5">
        <v>22946</v>
      </c>
      <c r="L359" s="5">
        <v>14101</v>
      </c>
      <c r="M359" s="3" t="s">
        <v>17</v>
      </c>
      <c r="N359" s="10">
        <v>24495</v>
      </c>
      <c r="O359" s="12">
        <f>(Fact_Table[[#This Row],[Petrol_Output_BPD]]+Fact_Table[[#This Row],[Diesel_Output_BPD]]+Fact_Table[[#This Row],[Gas_Output_BPD]])/Fact_Table[[#This Row],[No_of_Employees]]</f>
        <v>165.5857843137255</v>
      </c>
      <c r="P359" s="2" t="str">
        <f>IF(Fact_Table[[#This Row],[0/P Producyivity/Day]]&gt;=1000,"High",IF(Fact_Table[[#This Row],[0/P Producyivity/Day]]&gt;=500,"Medium","Low"))</f>
        <v>Low</v>
      </c>
      <c r="Q359" s="10">
        <f>Fact_Table[[#This Row],[Capacity_BPD]]/Fact_Table[[#This Row],[Average_Salary_AED]]</f>
        <v>2.7581547254541743</v>
      </c>
      <c r="R359" s="15">
        <f>(Fact_Table[[#This Row],[Petrol_Output_BPD]]/Fact_Table[[#This Row],[Capacity_BPD]])</f>
        <v>0.45162149760956766</v>
      </c>
      <c r="S359" s="15">
        <f>Fact_Table[[#This Row],[Diesel_Output_BPD]]/Fact_Table[[#This Row],[Capacity_BPD]]</f>
        <v>0.33963381240656593</v>
      </c>
      <c r="T359" s="15">
        <f>Fact_Table[[#This Row],[Gas_Output_BPD]]/Fact_Table[[#This Row],[Capacity_BPD]]</f>
        <v>0.20871508710646675</v>
      </c>
      <c r="U359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59" s="8">
        <f ca="1">YEAR(TODAY())-Fact_Table[[#This Row],[Commissioned_Year]]</f>
        <v>45</v>
      </c>
      <c r="W359" s="40" cm="1">
        <f t="array" ref="W359">_xlfn.XLOOKUP(Fact_Table[[#This Row],[Commissioned_Year]],cost_table[[#All],[Year]],cost_table[[#All],[Average_Crude_Price_USD_per_Barrel]],"0")</f>
        <v>36.799999999999997</v>
      </c>
      <c r="X359" s="40">
        <f>Fact_Table[[#This Row],[Capacity_BPD]]*Fact_Table[[#This Row],[cost per barrel]]</f>
        <v>2486244.7999999998</v>
      </c>
    </row>
    <row r="360" spans="1:24" x14ac:dyDescent="0.35">
      <c r="A360" t="s">
        <v>35</v>
      </c>
      <c r="B360" t="s">
        <v>19</v>
      </c>
      <c r="C360" t="s">
        <v>47</v>
      </c>
      <c r="D360" s="5">
        <v>203543</v>
      </c>
      <c r="E360" s="5">
        <v>1976</v>
      </c>
      <c r="F360" s="5">
        <v>1161</v>
      </c>
      <c r="G360" s="3" t="s">
        <v>16</v>
      </c>
      <c r="H360" s="4">
        <v>5.07</v>
      </c>
      <c r="I360" s="4">
        <v>7.69</v>
      </c>
      <c r="J360" s="5">
        <v>86854</v>
      </c>
      <c r="K360" s="5">
        <v>68408</v>
      </c>
      <c r="L360" s="5">
        <v>48279</v>
      </c>
      <c r="M360" s="3" t="s">
        <v>29</v>
      </c>
      <c r="N360" s="10">
        <v>19581</v>
      </c>
      <c r="O360" s="12">
        <f>(Fact_Table[[#This Row],[Petrol_Output_BPD]]+Fact_Table[[#This Row],[Diesel_Output_BPD]]+Fact_Table[[#This Row],[Gas_Output_BPD]])/Fact_Table[[#This Row],[No_of_Employees]]</f>
        <v>175.31524547803619</v>
      </c>
      <c r="P360" s="2" t="str">
        <f>IF(Fact_Table[[#This Row],[0/P Producyivity/Day]]&gt;=1000,"High",IF(Fact_Table[[#This Row],[0/P Producyivity/Day]]&gt;=500,"Medium","Low"))</f>
        <v>Low</v>
      </c>
      <c r="Q360" s="10">
        <f>Fact_Table[[#This Row],[Capacity_BPD]]/Fact_Table[[#This Row],[Average_Salary_AED]]</f>
        <v>10.394923650477503</v>
      </c>
      <c r="R360" s="15">
        <f>(Fact_Table[[#This Row],[Petrol_Output_BPD]]/Fact_Table[[#This Row],[Capacity_BPD]])</f>
        <v>0.42671081786158205</v>
      </c>
      <c r="S360" s="15">
        <f>Fact_Table[[#This Row],[Diesel_Output_BPD]]/Fact_Table[[#This Row],[Capacity_BPD]]</f>
        <v>0.33608623239315527</v>
      </c>
      <c r="T360" s="15">
        <f>Fact_Table[[#This Row],[Gas_Output_BPD]]/Fact_Table[[#This Row],[Capacity_BPD]]</f>
        <v>0.23719312381167615</v>
      </c>
      <c r="U360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60" s="8">
        <f ca="1">YEAR(TODAY())-Fact_Table[[#This Row],[Commissioned_Year]]</f>
        <v>49</v>
      </c>
      <c r="W360" s="40" cm="1">
        <f t="array" ref="W360">_xlfn.XLOOKUP(Fact_Table[[#This Row],[Commissioned_Year]],cost_table[[#All],[Year]],cost_table[[#All],[Average_Crude_Price_USD_per_Barrel]],"0")</f>
        <v>11.2</v>
      </c>
      <c r="X360" s="40">
        <f>Fact_Table[[#This Row],[Capacity_BPD]]*Fact_Table[[#This Row],[cost per barrel]]</f>
        <v>2279681.5999999996</v>
      </c>
    </row>
    <row r="361" spans="1:24" x14ac:dyDescent="0.35">
      <c r="A361" t="s">
        <v>45</v>
      </c>
      <c r="B361" t="s">
        <v>25</v>
      </c>
      <c r="C361" t="s">
        <v>48</v>
      </c>
      <c r="D361" s="5">
        <v>738300</v>
      </c>
      <c r="E361" s="5">
        <v>2011</v>
      </c>
      <c r="F361" s="5">
        <v>1837</v>
      </c>
      <c r="G361" s="3" t="s">
        <v>16</v>
      </c>
      <c r="H361" s="4">
        <v>32.15</v>
      </c>
      <c r="I361" s="4">
        <v>6.34</v>
      </c>
      <c r="J361" s="5">
        <v>279974</v>
      </c>
      <c r="K361" s="5">
        <v>371048</v>
      </c>
      <c r="L361" s="5">
        <v>87276</v>
      </c>
      <c r="M361" s="3" t="s">
        <v>38</v>
      </c>
      <c r="N361" s="10">
        <v>19872</v>
      </c>
      <c r="O361" s="12">
        <f>(Fact_Table[[#This Row],[Petrol_Output_BPD]]+Fact_Table[[#This Row],[Diesel_Output_BPD]]+Fact_Table[[#This Row],[Gas_Output_BPD]])/Fact_Table[[#This Row],[No_of_Employees]]</f>
        <v>401.90419161676647</v>
      </c>
      <c r="P361" s="2" t="str">
        <f>IF(Fact_Table[[#This Row],[0/P Producyivity/Day]]&gt;=1000,"High",IF(Fact_Table[[#This Row],[0/P Producyivity/Day]]&gt;=500,"Medium","Low"))</f>
        <v>Low</v>
      </c>
      <c r="Q361" s="10">
        <f>Fact_Table[[#This Row],[Capacity_BPD]]/Fact_Table[[#This Row],[Average_Salary_AED]]</f>
        <v>37.152777777777779</v>
      </c>
      <c r="R361" s="15">
        <f>(Fact_Table[[#This Row],[Petrol_Output_BPD]]/Fact_Table[[#This Row],[Capacity_BPD]])</f>
        <v>0.37921441148584584</v>
      </c>
      <c r="S361" s="15">
        <f>Fact_Table[[#This Row],[Diesel_Output_BPD]]/Fact_Table[[#This Row],[Capacity_BPD]]</f>
        <v>0.50257077068942169</v>
      </c>
      <c r="T361" s="15">
        <f>Fact_Table[[#This Row],[Gas_Output_BPD]]/Fact_Table[[#This Row],[Capacity_BPD]]</f>
        <v>0.11821210889882161</v>
      </c>
      <c r="U36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61" s="8">
        <f ca="1">YEAR(TODAY())-Fact_Table[[#This Row],[Commissioned_Year]]</f>
        <v>14</v>
      </c>
      <c r="W361" s="40" cm="1">
        <f t="array" ref="W361">_xlfn.XLOOKUP(Fact_Table[[#This Row],[Commissioned_Year]],cost_table[[#All],[Year]],cost_table[[#All],[Average_Crude_Price_USD_per_Barrel]],"0")</f>
        <v>66.099999999999994</v>
      </c>
      <c r="X361" s="40">
        <f>Fact_Table[[#This Row],[Capacity_BPD]]*Fact_Table[[#This Row],[cost per barrel]]</f>
        <v>48801629.999999993</v>
      </c>
    </row>
    <row r="362" spans="1:24" x14ac:dyDescent="0.35">
      <c r="A362" t="s">
        <v>22</v>
      </c>
      <c r="B362" t="s">
        <v>26</v>
      </c>
      <c r="C362" t="s">
        <v>39</v>
      </c>
      <c r="D362" s="5">
        <v>486474</v>
      </c>
      <c r="E362" s="5">
        <v>1990</v>
      </c>
      <c r="F362" s="5">
        <v>2153</v>
      </c>
      <c r="G362" s="3" t="s">
        <v>21</v>
      </c>
      <c r="H362" s="4">
        <v>8.8000000000000007</v>
      </c>
      <c r="I362" s="4">
        <v>6.08</v>
      </c>
      <c r="J362" s="5">
        <v>183883</v>
      </c>
      <c r="K362" s="5">
        <v>207252</v>
      </c>
      <c r="L362" s="5">
        <v>95338</v>
      </c>
      <c r="M362" s="3" t="s">
        <v>38</v>
      </c>
      <c r="N362" s="10">
        <v>10040</v>
      </c>
      <c r="O362" s="12">
        <f>(Fact_Table[[#This Row],[Petrol_Output_BPD]]+Fact_Table[[#This Row],[Diesel_Output_BPD]]+Fact_Table[[#This Row],[Gas_Output_BPD]])/Fact_Table[[#This Row],[No_of_Employees]]</f>
        <v>225.9512308406874</v>
      </c>
      <c r="P362" s="2" t="str">
        <f>IF(Fact_Table[[#This Row],[0/P Producyivity/Day]]&gt;=1000,"High",IF(Fact_Table[[#This Row],[0/P Producyivity/Day]]&gt;=500,"Medium","Low"))</f>
        <v>Low</v>
      </c>
      <c r="Q362" s="10">
        <f>Fact_Table[[#This Row],[Capacity_BPD]]/Fact_Table[[#This Row],[Average_Salary_AED]]</f>
        <v>48.453585657370517</v>
      </c>
      <c r="R362" s="15">
        <f>(Fact_Table[[#This Row],[Petrol_Output_BPD]]/Fact_Table[[#This Row],[Capacity_BPD]])</f>
        <v>0.37799142400210495</v>
      </c>
      <c r="S362" s="15">
        <f>Fact_Table[[#This Row],[Diesel_Output_BPD]]/Fact_Table[[#This Row],[Capacity_BPD]]</f>
        <v>0.42602893474265841</v>
      </c>
      <c r="T362" s="15">
        <f>Fact_Table[[#This Row],[Gas_Output_BPD]]/Fact_Table[[#This Row],[Capacity_BPD]]</f>
        <v>0.1959775856469205</v>
      </c>
      <c r="U36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62" s="8">
        <f ca="1">YEAR(TODAY())-Fact_Table[[#This Row],[Commissioned_Year]]</f>
        <v>35</v>
      </c>
      <c r="W362" s="40" cm="1">
        <f t="array" ref="W362">_xlfn.XLOOKUP(Fact_Table[[#This Row],[Commissioned_Year]],cost_table[[#All],[Year]],cost_table[[#All],[Average_Crude_Price_USD_per_Barrel]],"0")</f>
        <v>22.3</v>
      </c>
      <c r="X362" s="40">
        <f>Fact_Table[[#This Row],[Capacity_BPD]]*Fact_Table[[#This Row],[cost per barrel]]</f>
        <v>10848370.200000001</v>
      </c>
    </row>
    <row r="363" spans="1:24" x14ac:dyDescent="0.35">
      <c r="A363" t="s">
        <v>27</v>
      </c>
      <c r="B363" t="s">
        <v>32</v>
      </c>
      <c r="C363" t="s">
        <v>39</v>
      </c>
      <c r="D363" s="5">
        <v>891230</v>
      </c>
      <c r="E363" s="5">
        <v>1996</v>
      </c>
      <c r="F363" s="5">
        <v>1571</v>
      </c>
      <c r="G363" s="3" t="s">
        <v>31</v>
      </c>
      <c r="H363" s="4">
        <v>8.58</v>
      </c>
      <c r="I363" s="4">
        <v>8.15</v>
      </c>
      <c r="J363" s="5">
        <v>306958</v>
      </c>
      <c r="K363" s="5">
        <v>380875</v>
      </c>
      <c r="L363" s="5">
        <v>203396</v>
      </c>
      <c r="M363" s="3" t="s">
        <v>29</v>
      </c>
      <c r="N363" s="10">
        <v>16256</v>
      </c>
      <c r="O363" s="12">
        <f>(Fact_Table[[#This Row],[Petrol_Output_BPD]]+Fact_Table[[#This Row],[Diesel_Output_BPD]]+Fact_Table[[#This Row],[Gas_Output_BPD]])/Fact_Table[[#This Row],[No_of_Employees]]</f>
        <v>567.30044557606618</v>
      </c>
      <c r="P363" s="2" t="str">
        <f>IF(Fact_Table[[#This Row],[0/P Producyivity/Day]]&gt;=1000,"High",IF(Fact_Table[[#This Row],[0/P Producyivity/Day]]&gt;=500,"Medium","Low"))</f>
        <v>Medium</v>
      </c>
      <c r="Q363" s="10">
        <f>Fact_Table[[#This Row],[Capacity_BPD]]/Fact_Table[[#This Row],[Average_Salary_AED]]</f>
        <v>54.824680118110237</v>
      </c>
      <c r="R363" s="15">
        <f>(Fact_Table[[#This Row],[Petrol_Output_BPD]]/Fact_Table[[#This Row],[Capacity_BPD]])</f>
        <v>0.34442063216004848</v>
      </c>
      <c r="S363" s="15">
        <f>Fact_Table[[#This Row],[Diesel_Output_BPD]]/Fact_Table[[#This Row],[Capacity_BPD]]</f>
        <v>0.42735881871121933</v>
      </c>
      <c r="T363" s="15">
        <f>Fact_Table[[#This Row],[Gas_Output_BPD]]/Fact_Table[[#This Row],[Capacity_BPD]]</f>
        <v>0.22821942708391774</v>
      </c>
      <c r="U363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63" s="8">
        <f ca="1">YEAR(TODAY())-Fact_Table[[#This Row],[Commissioned_Year]]</f>
        <v>29</v>
      </c>
      <c r="W363" s="40" cm="1">
        <f t="array" ref="W363">_xlfn.XLOOKUP(Fact_Table[[#This Row],[Commissioned_Year]],cost_table[[#All],[Year]],cost_table[[#All],[Average_Crude_Price_USD_per_Barrel]],"0")</f>
        <v>18</v>
      </c>
      <c r="X363" s="40">
        <f>Fact_Table[[#This Row],[Capacity_BPD]]*Fact_Table[[#This Row],[cost per barrel]]</f>
        <v>16042140</v>
      </c>
    </row>
    <row r="364" spans="1:24" x14ac:dyDescent="0.35">
      <c r="A364" t="s">
        <v>36</v>
      </c>
      <c r="B364" t="s">
        <v>25</v>
      </c>
      <c r="C364" t="s">
        <v>46</v>
      </c>
      <c r="D364" s="5">
        <v>392318</v>
      </c>
      <c r="E364" s="5">
        <v>1997</v>
      </c>
      <c r="F364" s="5">
        <v>453</v>
      </c>
      <c r="G364" s="3" t="s">
        <v>28</v>
      </c>
      <c r="H364" s="4">
        <v>2.25</v>
      </c>
      <c r="I364" s="4">
        <v>7.81</v>
      </c>
      <c r="J364" s="5">
        <v>156372</v>
      </c>
      <c r="K364" s="5">
        <v>165009</v>
      </c>
      <c r="L364" s="5">
        <v>70935</v>
      </c>
      <c r="M364" s="3" t="s">
        <v>23</v>
      </c>
      <c r="N364" s="10">
        <v>16434</v>
      </c>
      <c r="O364" s="12">
        <f>(Fact_Table[[#This Row],[Petrol_Output_BPD]]+Fact_Table[[#This Row],[Diesel_Output_BPD]]+Fact_Table[[#This Row],[Gas_Output_BPD]])/Fact_Table[[#This Row],[No_of_Employees]]</f>
        <v>866.0397350993378</v>
      </c>
      <c r="P364" s="2" t="str">
        <f>IF(Fact_Table[[#This Row],[0/P Producyivity/Day]]&gt;=1000,"High",IF(Fact_Table[[#This Row],[0/P Producyivity/Day]]&gt;=500,"Medium","Low"))</f>
        <v>Medium</v>
      </c>
      <c r="Q364" s="10">
        <f>Fact_Table[[#This Row],[Capacity_BPD]]/Fact_Table[[#This Row],[Average_Salary_AED]]</f>
        <v>23.872337836193257</v>
      </c>
      <c r="R364" s="15">
        <f>(Fact_Table[[#This Row],[Petrol_Output_BPD]]/Fact_Table[[#This Row],[Capacity_BPD]])</f>
        <v>0.39858482149684693</v>
      </c>
      <c r="S364" s="15">
        <f>Fact_Table[[#This Row],[Diesel_Output_BPD]]/Fact_Table[[#This Row],[Capacity_BPD]]</f>
        <v>0.42060012540846964</v>
      </c>
      <c r="T364" s="15">
        <f>Fact_Table[[#This Row],[Gas_Output_BPD]]/Fact_Table[[#This Row],[Capacity_BPD]]</f>
        <v>0.18080995518941267</v>
      </c>
      <c r="U364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64" s="8">
        <f ca="1">YEAR(TODAY())-Fact_Table[[#This Row],[Commissioned_Year]]</f>
        <v>28</v>
      </c>
      <c r="W364" s="40" cm="1">
        <f t="array" ref="W364">_xlfn.XLOOKUP(Fact_Table[[#This Row],[Commissioned_Year]],cost_table[[#All],[Year]],cost_table[[#All],[Average_Crude_Price_USD_per_Barrel]],"0")</f>
        <v>15</v>
      </c>
      <c r="X364" s="40">
        <f>Fact_Table[[#This Row],[Capacity_BPD]]*Fact_Table[[#This Row],[cost per barrel]]</f>
        <v>5884770</v>
      </c>
    </row>
    <row r="365" spans="1:24" x14ac:dyDescent="0.35">
      <c r="A365" t="s">
        <v>35</v>
      </c>
      <c r="B365" t="s">
        <v>14</v>
      </c>
      <c r="C365" t="s">
        <v>48</v>
      </c>
      <c r="D365" s="5">
        <v>70352</v>
      </c>
      <c r="E365" s="5">
        <v>1980</v>
      </c>
      <c r="F365" s="5">
        <v>1217</v>
      </c>
      <c r="G365" s="3" t="s">
        <v>31</v>
      </c>
      <c r="H365" s="4">
        <v>22.78</v>
      </c>
      <c r="I365" s="4">
        <v>9.34</v>
      </c>
      <c r="J365" s="5">
        <v>24533</v>
      </c>
      <c r="K365" s="5">
        <v>31921</v>
      </c>
      <c r="L365" s="5">
        <v>13896</v>
      </c>
      <c r="M365" s="3" t="s">
        <v>17</v>
      </c>
      <c r="N365" s="10">
        <v>11029</v>
      </c>
      <c r="O365" s="12">
        <f>(Fact_Table[[#This Row],[Petrol_Output_BPD]]+Fact_Table[[#This Row],[Diesel_Output_BPD]]+Fact_Table[[#This Row],[Gas_Output_BPD]])/Fact_Table[[#This Row],[No_of_Employees]]</f>
        <v>57.806080525883317</v>
      </c>
      <c r="P365" s="2" t="str">
        <f>IF(Fact_Table[[#This Row],[0/P Producyivity/Day]]&gt;=1000,"High",IF(Fact_Table[[#This Row],[0/P Producyivity/Day]]&gt;=500,"Medium","Low"))</f>
        <v>Low</v>
      </c>
      <c r="Q365" s="10">
        <f>Fact_Table[[#This Row],[Capacity_BPD]]/Fact_Table[[#This Row],[Average_Salary_AED]]</f>
        <v>6.3788194759271013</v>
      </c>
      <c r="R365" s="15">
        <f>(Fact_Table[[#This Row],[Petrol_Output_BPD]]/Fact_Table[[#This Row],[Capacity_BPD]])</f>
        <v>0.34871787582442576</v>
      </c>
      <c r="S365" s="15">
        <f>Fact_Table[[#This Row],[Diesel_Output_BPD]]/Fact_Table[[#This Row],[Capacity_BPD]]</f>
        <v>0.45373265863088469</v>
      </c>
      <c r="T365" s="15">
        <f>Fact_Table[[#This Row],[Gas_Output_BPD]]/Fact_Table[[#This Row],[Capacity_BPD]]</f>
        <v>0.19752103707073004</v>
      </c>
      <c r="U365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65" s="8">
        <f ca="1">YEAR(TODAY())-Fact_Table[[#This Row],[Commissioned_Year]]</f>
        <v>45</v>
      </c>
      <c r="W365" s="40" cm="1">
        <f t="array" ref="W365">_xlfn.XLOOKUP(Fact_Table[[#This Row],[Commissioned_Year]],cost_table[[#All],[Year]],cost_table[[#All],[Average_Crude_Price_USD_per_Barrel]],"0")</f>
        <v>36.799999999999997</v>
      </c>
      <c r="X365" s="40">
        <f>Fact_Table[[#This Row],[Capacity_BPD]]*Fact_Table[[#This Row],[cost per barrel]]</f>
        <v>2588953.5999999996</v>
      </c>
    </row>
    <row r="366" spans="1:24" x14ac:dyDescent="0.35">
      <c r="A366" t="s">
        <v>35</v>
      </c>
      <c r="B366" t="s">
        <v>19</v>
      </c>
      <c r="C366" t="s">
        <v>39</v>
      </c>
      <c r="D366" s="5">
        <v>358305</v>
      </c>
      <c r="E366" s="5">
        <v>2022</v>
      </c>
      <c r="F366" s="5">
        <v>551</v>
      </c>
      <c r="G366" s="3" t="s">
        <v>16</v>
      </c>
      <c r="H366" s="4">
        <v>34.270000000000003</v>
      </c>
      <c r="I366" s="4">
        <v>7.86</v>
      </c>
      <c r="J366" s="5">
        <v>164568</v>
      </c>
      <c r="K366" s="5">
        <v>147101</v>
      </c>
      <c r="L366" s="5">
        <v>46635</v>
      </c>
      <c r="M366" s="3" t="s">
        <v>29</v>
      </c>
      <c r="N366" s="10">
        <v>12502</v>
      </c>
      <c r="O366" s="12">
        <f>(Fact_Table[[#This Row],[Petrol_Output_BPD]]+Fact_Table[[#This Row],[Diesel_Output_BPD]]+Fact_Table[[#This Row],[Gas_Output_BPD]])/Fact_Table[[#This Row],[No_of_Employees]]</f>
        <v>650.27949183303087</v>
      </c>
      <c r="P366" s="2" t="str">
        <f>IF(Fact_Table[[#This Row],[0/P Producyivity/Day]]&gt;=1000,"High",IF(Fact_Table[[#This Row],[0/P Producyivity/Day]]&gt;=500,"Medium","Low"))</f>
        <v>Medium</v>
      </c>
      <c r="Q366" s="10">
        <f>Fact_Table[[#This Row],[Capacity_BPD]]/Fact_Table[[#This Row],[Average_Salary_AED]]</f>
        <v>28.659814429691249</v>
      </c>
      <c r="R366" s="15">
        <f>(Fact_Table[[#This Row],[Petrol_Output_BPD]]/Fact_Table[[#This Row],[Capacity_BPD]])</f>
        <v>0.45929585129987022</v>
      </c>
      <c r="S366" s="15">
        <f>Fact_Table[[#This Row],[Diesel_Output_BPD]]/Fact_Table[[#This Row],[Capacity_BPD]]</f>
        <v>0.4105468804510124</v>
      </c>
      <c r="T366" s="15">
        <f>Fact_Table[[#This Row],[Gas_Output_BPD]]/Fact_Table[[#This Row],[Capacity_BPD]]</f>
        <v>0.13015447733076568</v>
      </c>
      <c r="U36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66" s="8">
        <f ca="1">YEAR(TODAY())-Fact_Table[[#This Row],[Commissioned_Year]]</f>
        <v>3</v>
      </c>
      <c r="W366" s="40" cm="1">
        <f t="array" ref="W366">_xlfn.XLOOKUP(Fact_Table[[#This Row],[Commissioned_Year]],cost_table[[#All],[Year]],cost_table[[#All],[Average_Crude_Price_USD_per_Barrel]],"0")</f>
        <v>71.3</v>
      </c>
      <c r="X366" s="40">
        <f>Fact_Table[[#This Row],[Capacity_BPD]]*Fact_Table[[#This Row],[cost per barrel]]</f>
        <v>25547146.5</v>
      </c>
    </row>
    <row r="367" spans="1:24" x14ac:dyDescent="0.35">
      <c r="A367" t="s">
        <v>27</v>
      </c>
      <c r="B367" t="s">
        <v>26</v>
      </c>
      <c r="C367" t="s">
        <v>33</v>
      </c>
      <c r="D367" s="5">
        <v>571590</v>
      </c>
      <c r="E367" s="5">
        <v>1977</v>
      </c>
      <c r="F367" s="5">
        <v>787</v>
      </c>
      <c r="G367" s="3" t="s">
        <v>21</v>
      </c>
      <c r="H367" s="4">
        <v>5.36</v>
      </c>
      <c r="I367" s="4">
        <v>8.89</v>
      </c>
      <c r="J367" s="5">
        <v>204083</v>
      </c>
      <c r="K367" s="5">
        <v>260744</v>
      </c>
      <c r="L367" s="5">
        <v>106762</v>
      </c>
      <c r="M367" s="3" t="s">
        <v>17</v>
      </c>
      <c r="N367" s="10">
        <v>11868</v>
      </c>
      <c r="O367" s="12">
        <f>(Fact_Table[[#This Row],[Petrol_Output_BPD]]+Fact_Table[[#This Row],[Diesel_Output_BPD]]+Fact_Table[[#This Row],[Gas_Output_BPD]])/Fact_Table[[#This Row],[No_of_Employees]]</f>
        <v>726.28843710292244</v>
      </c>
      <c r="P367" s="2" t="str">
        <f>IF(Fact_Table[[#This Row],[0/P Producyivity/Day]]&gt;=1000,"High",IF(Fact_Table[[#This Row],[0/P Producyivity/Day]]&gt;=500,"Medium","Low"))</f>
        <v>Medium</v>
      </c>
      <c r="Q367" s="10">
        <f>Fact_Table[[#This Row],[Capacity_BPD]]/Fact_Table[[#This Row],[Average_Salary_AED]]</f>
        <v>48.162285136501517</v>
      </c>
      <c r="R367" s="15">
        <f>(Fact_Table[[#This Row],[Petrol_Output_BPD]]/Fact_Table[[#This Row],[Capacity_BPD]])</f>
        <v>0.35704438496124846</v>
      </c>
      <c r="S367" s="15">
        <f>Fact_Table[[#This Row],[Diesel_Output_BPD]]/Fact_Table[[#This Row],[Capacity_BPD]]</f>
        <v>0.45617313109046692</v>
      </c>
      <c r="T367" s="15">
        <f>Fact_Table[[#This Row],[Gas_Output_BPD]]/Fact_Table[[#This Row],[Capacity_BPD]]</f>
        <v>0.18678073444252</v>
      </c>
      <c r="U367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67" s="8">
        <f ca="1">YEAR(TODAY())-Fact_Table[[#This Row],[Commissioned_Year]]</f>
        <v>48</v>
      </c>
      <c r="W367" s="40" cm="1">
        <f t="array" ref="W367">_xlfn.XLOOKUP(Fact_Table[[#This Row],[Commissioned_Year]],cost_table[[#All],[Year]],cost_table[[#All],[Average_Crude_Price_USD_per_Barrel]],"0")</f>
        <v>12.8</v>
      </c>
      <c r="X367" s="40">
        <f>Fact_Table[[#This Row],[Capacity_BPD]]*Fact_Table[[#This Row],[cost per barrel]]</f>
        <v>7316352</v>
      </c>
    </row>
    <row r="368" spans="1:24" x14ac:dyDescent="0.35">
      <c r="A368" t="s">
        <v>36</v>
      </c>
      <c r="B368" t="s">
        <v>25</v>
      </c>
      <c r="C368" t="s">
        <v>20</v>
      </c>
      <c r="D368" s="5">
        <v>149819</v>
      </c>
      <c r="E368" s="5">
        <v>2014</v>
      </c>
      <c r="F368" s="5">
        <v>440</v>
      </c>
      <c r="G368" s="3" t="s">
        <v>28</v>
      </c>
      <c r="H368" s="4">
        <v>32.729999999999997</v>
      </c>
      <c r="I368" s="4">
        <v>7.82</v>
      </c>
      <c r="J368" s="5">
        <v>50771</v>
      </c>
      <c r="K368" s="5">
        <v>77427</v>
      </c>
      <c r="L368" s="5">
        <v>21620</v>
      </c>
      <c r="M368" s="3" t="s">
        <v>23</v>
      </c>
      <c r="N368" s="10">
        <v>9458</v>
      </c>
      <c r="O368" s="12">
        <f>(Fact_Table[[#This Row],[Petrol_Output_BPD]]+Fact_Table[[#This Row],[Diesel_Output_BPD]]+Fact_Table[[#This Row],[Gas_Output_BPD]])/Fact_Table[[#This Row],[No_of_Employees]]</f>
        <v>340.49545454545455</v>
      </c>
      <c r="P368" s="2" t="str">
        <f>IF(Fact_Table[[#This Row],[0/P Producyivity/Day]]&gt;=1000,"High",IF(Fact_Table[[#This Row],[0/P Producyivity/Day]]&gt;=500,"Medium","Low"))</f>
        <v>Low</v>
      </c>
      <c r="Q368" s="10">
        <f>Fact_Table[[#This Row],[Capacity_BPD]]/Fact_Table[[#This Row],[Average_Salary_AED]]</f>
        <v>15.840452526961302</v>
      </c>
      <c r="R368" s="15">
        <f>(Fact_Table[[#This Row],[Petrol_Output_BPD]]/Fact_Table[[#This Row],[Capacity_BPD]])</f>
        <v>0.33888225124984145</v>
      </c>
      <c r="S368" s="15">
        <f>Fact_Table[[#This Row],[Diesel_Output_BPD]]/Fact_Table[[#This Row],[Capacity_BPD]]</f>
        <v>0.51680360968902472</v>
      </c>
      <c r="T368" s="15">
        <f>Fact_Table[[#This Row],[Gas_Output_BPD]]/Fact_Table[[#This Row],[Capacity_BPD]]</f>
        <v>0.14430746434030398</v>
      </c>
      <c r="U36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68" s="8">
        <f ca="1">YEAR(TODAY())-Fact_Table[[#This Row],[Commissioned_Year]]</f>
        <v>11</v>
      </c>
      <c r="W368" s="40" cm="1">
        <f t="array" ref="W368">_xlfn.XLOOKUP(Fact_Table[[#This Row],[Commissioned_Year]],cost_table[[#All],[Year]],cost_table[[#All],[Average_Crude_Price_USD_per_Barrel]],"0")</f>
        <v>61.9</v>
      </c>
      <c r="X368" s="40">
        <f>Fact_Table[[#This Row],[Capacity_BPD]]*Fact_Table[[#This Row],[cost per barrel]]</f>
        <v>9273796.0999999996</v>
      </c>
    </row>
    <row r="369" spans="1:24" x14ac:dyDescent="0.35">
      <c r="A369" t="s">
        <v>24</v>
      </c>
      <c r="B369" t="s">
        <v>41</v>
      </c>
      <c r="C369" t="s">
        <v>51</v>
      </c>
      <c r="D369" s="5">
        <v>355117</v>
      </c>
      <c r="E369" s="5">
        <v>1995</v>
      </c>
      <c r="F369" s="5">
        <v>1740</v>
      </c>
      <c r="G369" s="3" t="s">
        <v>21</v>
      </c>
      <c r="H369" s="4">
        <v>15.37</v>
      </c>
      <c r="I369" s="4">
        <v>6.91</v>
      </c>
      <c r="J369" s="5">
        <v>134086</v>
      </c>
      <c r="K369" s="5">
        <v>149795</v>
      </c>
      <c r="L369" s="5">
        <v>71235</v>
      </c>
      <c r="M369" s="3" t="s">
        <v>29</v>
      </c>
      <c r="N369" s="10">
        <v>19219</v>
      </c>
      <c r="O369" s="12">
        <f>(Fact_Table[[#This Row],[Petrol_Output_BPD]]+Fact_Table[[#This Row],[Diesel_Output_BPD]]+Fact_Table[[#This Row],[Gas_Output_BPD]])/Fact_Table[[#This Row],[No_of_Employees]]</f>
        <v>204.08965517241379</v>
      </c>
      <c r="P369" s="2" t="str">
        <f>IF(Fact_Table[[#This Row],[0/P Producyivity/Day]]&gt;=1000,"High",IF(Fact_Table[[#This Row],[0/P Producyivity/Day]]&gt;=500,"Medium","Low"))</f>
        <v>Low</v>
      </c>
      <c r="Q369" s="10">
        <f>Fact_Table[[#This Row],[Capacity_BPD]]/Fact_Table[[#This Row],[Average_Salary_AED]]</f>
        <v>18.477392164004371</v>
      </c>
      <c r="R369" s="15">
        <f>(Fact_Table[[#This Row],[Petrol_Output_BPD]]/Fact_Table[[#This Row],[Capacity_BPD]])</f>
        <v>0.37758259953761719</v>
      </c>
      <c r="S369" s="15">
        <f>Fact_Table[[#This Row],[Diesel_Output_BPD]]/Fact_Table[[#This Row],[Capacity_BPD]]</f>
        <v>0.4218187245330412</v>
      </c>
      <c r="T369" s="15">
        <f>Fact_Table[[#This Row],[Gas_Output_BPD]]/Fact_Table[[#This Row],[Capacity_BPD]]</f>
        <v>0.20059585995601451</v>
      </c>
      <c r="U369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69" s="8">
        <f ca="1">YEAR(TODAY())-Fact_Table[[#This Row],[Commissioned_Year]]</f>
        <v>30</v>
      </c>
      <c r="W369" s="40" cm="1">
        <f t="array" ref="W369">_xlfn.XLOOKUP(Fact_Table[[#This Row],[Commissioned_Year]],cost_table[[#All],[Year]],cost_table[[#All],[Average_Crude_Price_USD_per_Barrel]],"0")</f>
        <v>20.100000000000001</v>
      </c>
      <c r="X369" s="40">
        <f>Fact_Table[[#This Row],[Capacity_BPD]]*Fact_Table[[#This Row],[cost per barrel]]</f>
        <v>7137851.7000000002</v>
      </c>
    </row>
    <row r="370" spans="1:24" x14ac:dyDescent="0.35">
      <c r="A370" t="s">
        <v>30</v>
      </c>
      <c r="B370" t="s">
        <v>41</v>
      </c>
      <c r="C370" t="s">
        <v>46</v>
      </c>
      <c r="D370" s="5">
        <v>58570</v>
      </c>
      <c r="E370" s="5">
        <v>2013</v>
      </c>
      <c r="F370" s="5">
        <v>1833</v>
      </c>
      <c r="G370" s="3" t="s">
        <v>16</v>
      </c>
      <c r="H370" s="4">
        <v>14.9</v>
      </c>
      <c r="I370" s="4">
        <v>6.42</v>
      </c>
      <c r="J370" s="5">
        <v>22495</v>
      </c>
      <c r="K370" s="5">
        <v>23971</v>
      </c>
      <c r="L370" s="5">
        <v>12102</v>
      </c>
      <c r="M370" s="3" t="s">
        <v>29</v>
      </c>
      <c r="N370" s="10">
        <v>14363</v>
      </c>
      <c r="O370" s="12">
        <f>(Fact_Table[[#This Row],[Petrol_Output_BPD]]+Fact_Table[[#This Row],[Diesel_Output_BPD]]+Fact_Table[[#This Row],[Gas_Output_BPD]])/Fact_Table[[#This Row],[No_of_Employees]]</f>
        <v>31.951991271140209</v>
      </c>
      <c r="P370" s="2" t="str">
        <f>IF(Fact_Table[[#This Row],[0/P Producyivity/Day]]&gt;=1000,"High",IF(Fact_Table[[#This Row],[0/P Producyivity/Day]]&gt;=500,"Medium","Low"))</f>
        <v>Low</v>
      </c>
      <c r="Q370" s="10">
        <f>Fact_Table[[#This Row],[Capacity_BPD]]/Fact_Table[[#This Row],[Average_Salary_AED]]</f>
        <v>4.0778388915964632</v>
      </c>
      <c r="R370" s="15">
        <f>(Fact_Table[[#This Row],[Petrol_Output_BPD]]/Fact_Table[[#This Row],[Capacity_BPD]])</f>
        <v>0.38407034317910194</v>
      </c>
      <c r="S370" s="15">
        <f>Fact_Table[[#This Row],[Diesel_Output_BPD]]/Fact_Table[[#This Row],[Capacity_BPD]]</f>
        <v>0.40927095782823969</v>
      </c>
      <c r="T370" s="15">
        <f>Fact_Table[[#This Row],[Gas_Output_BPD]]/Fact_Table[[#This Row],[Capacity_BPD]]</f>
        <v>0.20662455181833703</v>
      </c>
      <c r="U370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70" s="8">
        <f ca="1">YEAR(TODAY())-Fact_Table[[#This Row],[Commissioned_Year]]</f>
        <v>12</v>
      </c>
      <c r="W370" s="40" cm="1">
        <f t="array" ref="W370">_xlfn.XLOOKUP(Fact_Table[[#This Row],[Commissioned_Year]],cost_table[[#All],[Year]],cost_table[[#All],[Average_Crude_Price_USD_per_Barrel]],"0")</f>
        <v>97.3</v>
      </c>
      <c r="X370" s="40">
        <f>Fact_Table[[#This Row],[Capacity_BPD]]*Fact_Table[[#This Row],[cost per barrel]]</f>
        <v>5698861</v>
      </c>
    </row>
    <row r="371" spans="1:24" x14ac:dyDescent="0.35">
      <c r="A371" t="s">
        <v>37</v>
      </c>
      <c r="B371" t="s">
        <v>14</v>
      </c>
      <c r="C371" t="s">
        <v>20</v>
      </c>
      <c r="D371" s="5">
        <v>597001</v>
      </c>
      <c r="E371" s="5">
        <v>1981</v>
      </c>
      <c r="F371" s="5">
        <v>2134</v>
      </c>
      <c r="G371" s="3" t="s">
        <v>16</v>
      </c>
      <c r="H371" s="4">
        <v>31.61</v>
      </c>
      <c r="I371" s="4">
        <v>5.03</v>
      </c>
      <c r="J371" s="5">
        <v>266694</v>
      </c>
      <c r="K371" s="5">
        <v>218550</v>
      </c>
      <c r="L371" s="5">
        <v>111756</v>
      </c>
      <c r="M371" s="3" t="s">
        <v>23</v>
      </c>
      <c r="N371" s="10">
        <v>8499</v>
      </c>
      <c r="O371" s="12">
        <f>(Fact_Table[[#This Row],[Petrol_Output_BPD]]+Fact_Table[[#This Row],[Diesel_Output_BPD]]+Fact_Table[[#This Row],[Gas_Output_BPD]])/Fact_Table[[#This Row],[No_of_Employees]]</f>
        <v>279.7563261480787</v>
      </c>
      <c r="P371" s="2" t="str">
        <f>IF(Fact_Table[[#This Row],[0/P Producyivity/Day]]&gt;=1000,"High",IF(Fact_Table[[#This Row],[0/P Producyivity/Day]]&gt;=500,"Medium","Low"))</f>
        <v>Low</v>
      </c>
      <c r="Q371" s="10">
        <f>Fact_Table[[#This Row],[Capacity_BPD]]/Fact_Table[[#This Row],[Average_Salary_AED]]</f>
        <v>70.243675726556063</v>
      </c>
      <c r="R371" s="15">
        <f>(Fact_Table[[#This Row],[Petrol_Output_BPD]]/Fact_Table[[#This Row],[Capacity_BPD]])</f>
        <v>0.44672286981093834</v>
      </c>
      <c r="S371" s="15">
        <f>Fact_Table[[#This Row],[Diesel_Output_BPD]]/Fact_Table[[#This Row],[Capacity_BPD]]</f>
        <v>0.366079788811074</v>
      </c>
      <c r="T371" s="15">
        <f>Fact_Table[[#This Row],[Gas_Output_BPD]]/Fact_Table[[#This Row],[Capacity_BPD]]</f>
        <v>0.18719566633891735</v>
      </c>
      <c r="U37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71" s="8">
        <f ca="1">YEAR(TODAY())-Fact_Table[[#This Row],[Commissioned_Year]]</f>
        <v>44</v>
      </c>
      <c r="W371" s="40" cm="1">
        <f t="array" ref="W371">_xlfn.XLOOKUP(Fact_Table[[#This Row],[Commissioned_Year]],cost_table[[#All],[Year]],cost_table[[#All],[Average_Crude_Price_USD_per_Barrel]],"0")</f>
        <v>35.700000000000003</v>
      </c>
      <c r="X371" s="40">
        <f>Fact_Table[[#This Row],[Capacity_BPD]]*Fact_Table[[#This Row],[cost per barrel]]</f>
        <v>21312935.700000003</v>
      </c>
    </row>
    <row r="372" spans="1:24" x14ac:dyDescent="0.35">
      <c r="A372" t="s">
        <v>60</v>
      </c>
      <c r="B372" t="s">
        <v>41</v>
      </c>
      <c r="C372" t="s">
        <v>39</v>
      </c>
      <c r="D372" s="5">
        <v>699855</v>
      </c>
      <c r="E372" s="5">
        <v>1976</v>
      </c>
      <c r="F372" s="5">
        <v>478</v>
      </c>
      <c r="G372" s="3" t="s">
        <v>28</v>
      </c>
      <c r="H372" s="4">
        <v>5.55</v>
      </c>
      <c r="I372" s="4">
        <v>8.11</v>
      </c>
      <c r="J372" s="5">
        <v>289638</v>
      </c>
      <c r="K372" s="5">
        <v>259609</v>
      </c>
      <c r="L372" s="5">
        <v>150607</v>
      </c>
      <c r="M372" s="3" t="s">
        <v>38</v>
      </c>
      <c r="N372" s="10">
        <v>14925</v>
      </c>
      <c r="O372" s="12">
        <f>(Fact_Table[[#This Row],[Petrol_Output_BPD]]+Fact_Table[[#This Row],[Diesel_Output_BPD]]+Fact_Table[[#This Row],[Gas_Output_BPD]])/Fact_Table[[#This Row],[No_of_Employees]]</f>
        <v>1464.1297071129707</v>
      </c>
      <c r="P372" s="2" t="str">
        <f>IF(Fact_Table[[#This Row],[0/P Producyivity/Day]]&gt;=1000,"High",IF(Fact_Table[[#This Row],[0/P Producyivity/Day]]&gt;=500,"Medium","Low"))</f>
        <v>High</v>
      </c>
      <c r="Q372" s="10">
        <f>Fact_Table[[#This Row],[Capacity_BPD]]/Fact_Table[[#This Row],[Average_Salary_AED]]</f>
        <v>46.891457286432164</v>
      </c>
      <c r="R372" s="15">
        <f>(Fact_Table[[#This Row],[Petrol_Output_BPD]]/Fact_Table[[#This Row],[Capacity_BPD]])</f>
        <v>0.41385429839038085</v>
      </c>
      <c r="S372" s="15">
        <f>Fact_Table[[#This Row],[Diesel_Output_BPD]]/Fact_Table[[#This Row],[Capacity_BPD]]</f>
        <v>0.37094683898807612</v>
      </c>
      <c r="T372" s="15">
        <f>Fact_Table[[#This Row],[Gas_Output_BPD]]/Fact_Table[[#This Row],[Capacity_BPD]]</f>
        <v>0.21519743375413478</v>
      </c>
      <c r="U372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72" s="8">
        <f ca="1">YEAR(TODAY())-Fact_Table[[#This Row],[Commissioned_Year]]</f>
        <v>49</v>
      </c>
      <c r="W372" s="40" cm="1">
        <f t="array" ref="W372">_xlfn.XLOOKUP(Fact_Table[[#This Row],[Commissioned_Year]],cost_table[[#All],[Year]],cost_table[[#All],[Average_Crude_Price_USD_per_Barrel]],"0")</f>
        <v>11.2</v>
      </c>
      <c r="X372" s="40">
        <f>Fact_Table[[#This Row],[Capacity_BPD]]*Fact_Table[[#This Row],[cost per barrel]]</f>
        <v>7838375.9999999991</v>
      </c>
    </row>
    <row r="373" spans="1:24" x14ac:dyDescent="0.35">
      <c r="A373" t="s">
        <v>37</v>
      </c>
      <c r="B373" t="s">
        <v>26</v>
      </c>
      <c r="C373" t="s">
        <v>47</v>
      </c>
      <c r="D373" s="5">
        <v>179484</v>
      </c>
      <c r="E373" s="5">
        <v>1976</v>
      </c>
      <c r="F373" s="5">
        <v>1415</v>
      </c>
      <c r="G373" s="3" t="s">
        <v>28</v>
      </c>
      <c r="H373" s="4">
        <v>33.24</v>
      </c>
      <c r="I373" s="4">
        <v>5.92</v>
      </c>
      <c r="J373" s="5">
        <v>68130</v>
      </c>
      <c r="K373" s="5">
        <v>82839</v>
      </c>
      <c r="L373" s="5">
        <v>28514</v>
      </c>
      <c r="M373" s="3" t="s">
        <v>34</v>
      </c>
      <c r="N373" s="10">
        <v>23407</v>
      </c>
      <c r="O373" s="12">
        <f>(Fact_Table[[#This Row],[Petrol_Output_BPD]]+Fact_Table[[#This Row],[Diesel_Output_BPD]]+Fact_Table[[#This Row],[Gas_Output_BPD]])/Fact_Table[[#This Row],[No_of_Employees]]</f>
        <v>126.84310954063604</v>
      </c>
      <c r="P373" s="2" t="str">
        <f>IF(Fact_Table[[#This Row],[0/P Producyivity/Day]]&gt;=1000,"High",IF(Fact_Table[[#This Row],[0/P Producyivity/Day]]&gt;=500,"Medium","Low"))</f>
        <v>Low</v>
      </c>
      <c r="Q373" s="10">
        <f>Fact_Table[[#This Row],[Capacity_BPD]]/Fact_Table[[#This Row],[Average_Salary_AED]]</f>
        <v>7.6679625752979881</v>
      </c>
      <c r="R373" s="15">
        <f>(Fact_Table[[#This Row],[Petrol_Output_BPD]]/Fact_Table[[#This Row],[Capacity_BPD]])</f>
        <v>0.37958815270441931</v>
      </c>
      <c r="S373" s="15">
        <f>Fact_Table[[#This Row],[Diesel_Output_BPD]]/Fact_Table[[#This Row],[Capacity_BPD]]</f>
        <v>0.46153974727552316</v>
      </c>
      <c r="T373" s="15">
        <f>Fact_Table[[#This Row],[Gas_Output_BPD]]/Fact_Table[[#This Row],[Capacity_BPD]]</f>
        <v>0.15886652849279045</v>
      </c>
      <c r="U373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73" s="8">
        <f ca="1">YEAR(TODAY())-Fact_Table[[#This Row],[Commissioned_Year]]</f>
        <v>49</v>
      </c>
      <c r="W373" s="40" cm="1">
        <f t="array" ref="W373">_xlfn.XLOOKUP(Fact_Table[[#This Row],[Commissioned_Year]],cost_table[[#All],[Year]],cost_table[[#All],[Average_Crude_Price_USD_per_Barrel]],"0")</f>
        <v>11.2</v>
      </c>
      <c r="X373" s="40">
        <f>Fact_Table[[#This Row],[Capacity_BPD]]*Fact_Table[[#This Row],[cost per barrel]]</f>
        <v>2010220.7999999998</v>
      </c>
    </row>
    <row r="374" spans="1:24" x14ac:dyDescent="0.35">
      <c r="A374" t="s">
        <v>36</v>
      </c>
      <c r="B374" t="s">
        <v>32</v>
      </c>
      <c r="C374" t="s">
        <v>33</v>
      </c>
      <c r="D374" s="5">
        <v>640256</v>
      </c>
      <c r="E374" s="5">
        <v>2017</v>
      </c>
      <c r="F374" s="5">
        <v>1851</v>
      </c>
      <c r="G374" s="3" t="s">
        <v>28</v>
      </c>
      <c r="H374" s="4">
        <v>24.88</v>
      </c>
      <c r="I374" s="4">
        <v>7.72</v>
      </c>
      <c r="J374" s="5">
        <v>255016</v>
      </c>
      <c r="K374" s="5">
        <v>247428</v>
      </c>
      <c r="L374" s="5">
        <v>137810</v>
      </c>
      <c r="M374" s="3" t="s">
        <v>38</v>
      </c>
      <c r="N374" s="10">
        <v>15116</v>
      </c>
      <c r="O374" s="12">
        <f>(Fact_Table[[#This Row],[Petrol_Output_BPD]]+Fact_Table[[#This Row],[Diesel_Output_BPD]]+Fact_Table[[#This Row],[Gas_Output_BPD]])/Fact_Table[[#This Row],[No_of_Employees]]</f>
        <v>345.8962722852512</v>
      </c>
      <c r="P374" s="2" t="str">
        <f>IF(Fact_Table[[#This Row],[0/P Producyivity/Day]]&gt;=1000,"High",IF(Fact_Table[[#This Row],[0/P Producyivity/Day]]&gt;=500,"Medium","Low"))</f>
        <v>Low</v>
      </c>
      <c r="Q374" s="10">
        <f>Fact_Table[[#This Row],[Capacity_BPD]]/Fact_Table[[#This Row],[Average_Salary_AED]]</f>
        <v>42.356178883302462</v>
      </c>
      <c r="R374" s="15">
        <f>(Fact_Table[[#This Row],[Petrol_Output_BPD]]/Fact_Table[[#This Row],[Capacity_BPD]])</f>
        <v>0.39830317872850862</v>
      </c>
      <c r="S374" s="15">
        <f>Fact_Table[[#This Row],[Diesel_Output_BPD]]/Fact_Table[[#This Row],[Capacity_BPD]]</f>
        <v>0.3864516693322671</v>
      </c>
      <c r="T374" s="15">
        <f>Fact_Table[[#This Row],[Gas_Output_BPD]]/Fact_Table[[#This Row],[Capacity_BPD]]</f>
        <v>0.21524202818872451</v>
      </c>
      <c r="U374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74" s="8">
        <f ca="1">YEAR(TODAY())-Fact_Table[[#This Row],[Commissioned_Year]]</f>
        <v>8</v>
      </c>
      <c r="W374" s="40" cm="1">
        <f t="array" ref="W374">_xlfn.XLOOKUP(Fact_Table[[#This Row],[Commissioned_Year]],cost_table[[#All],[Year]],cost_table[[#All],[Average_Crude_Price_USD_per_Barrel]],"0")</f>
        <v>71.3</v>
      </c>
      <c r="X374" s="40">
        <f>Fact_Table[[#This Row],[Capacity_BPD]]*Fact_Table[[#This Row],[cost per barrel]]</f>
        <v>45650252.799999997</v>
      </c>
    </row>
    <row r="375" spans="1:24" x14ac:dyDescent="0.35">
      <c r="A375" t="s">
        <v>60</v>
      </c>
      <c r="B375" t="s">
        <v>40</v>
      </c>
      <c r="C375" t="s">
        <v>46</v>
      </c>
      <c r="D375" s="5">
        <v>513179</v>
      </c>
      <c r="E375" s="5">
        <v>2002</v>
      </c>
      <c r="F375" s="5">
        <v>385</v>
      </c>
      <c r="G375" s="3" t="s">
        <v>16</v>
      </c>
      <c r="H375" s="4">
        <v>34.93</v>
      </c>
      <c r="I375" s="4">
        <v>6.56</v>
      </c>
      <c r="J375" s="5">
        <v>181558</v>
      </c>
      <c r="K375" s="5">
        <v>243543</v>
      </c>
      <c r="L375" s="5">
        <v>88077</v>
      </c>
      <c r="M375" s="3" t="s">
        <v>34</v>
      </c>
      <c r="N375" s="10">
        <v>16143</v>
      </c>
      <c r="O375" s="12">
        <f>(Fact_Table[[#This Row],[Petrol_Output_BPD]]+Fact_Table[[#This Row],[Diesel_Output_BPD]]+Fact_Table[[#This Row],[Gas_Output_BPD]])/Fact_Table[[#This Row],[No_of_Employees]]</f>
        <v>1332.9298701298701</v>
      </c>
      <c r="P375" s="2" t="str">
        <f>IF(Fact_Table[[#This Row],[0/P Producyivity/Day]]&gt;=1000,"High",IF(Fact_Table[[#This Row],[0/P Producyivity/Day]]&gt;=500,"Medium","Low"))</f>
        <v>High</v>
      </c>
      <c r="Q375" s="10">
        <f>Fact_Table[[#This Row],[Capacity_BPD]]/Fact_Table[[#This Row],[Average_Salary_AED]]</f>
        <v>31.789568233909435</v>
      </c>
      <c r="R375" s="15">
        <f>(Fact_Table[[#This Row],[Petrol_Output_BPD]]/Fact_Table[[#This Row],[Capacity_BPD]])</f>
        <v>0.35379078255345603</v>
      </c>
      <c r="S375" s="15">
        <f>Fact_Table[[#This Row],[Diesel_Output_BPD]]/Fact_Table[[#This Row],[Capacity_BPD]]</f>
        <v>0.47457709688042576</v>
      </c>
      <c r="T375" s="15">
        <f>Fact_Table[[#This Row],[Gas_Output_BPD]]/Fact_Table[[#This Row],[Capacity_BPD]]</f>
        <v>0.17163017192831351</v>
      </c>
      <c r="U375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75" s="8">
        <f ca="1">YEAR(TODAY())-Fact_Table[[#This Row],[Commissioned_Year]]</f>
        <v>23</v>
      </c>
      <c r="W375" s="40" cm="1">
        <f t="array" ref="W375">_xlfn.XLOOKUP(Fact_Table[[#This Row],[Commissioned_Year]],cost_table[[#All],[Year]],cost_table[[#All],[Average_Crude_Price_USD_per_Barrel]],"0")</f>
        <v>24.4</v>
      </c>
      <c r="X375" s="40">
        <f>Fact_Table[[#This Row],[Capacity_BPD]]*Fact_Table[[#This Row],[cost per barrel]]</f>
        <v>12521567.6</v>
      </c>
    </row>
    <row r="376" spans="1:24" x14ac:dyDescent="0.35">
      <c r="A376" t="s">
        <v>27</v>
      </c>
      <c r="B376" t="s">
        <v>25</v>
      </c>
      <c r="C376" t="s">
        <v>50</v>
      </c>
      <c r="D376" s="5">
        <v>477888</v>
      </c>
      <c r="E376" s="5">
        <v>2015</v>
      </c>
      <c r="F376" s="5">
        <v>1570</v>
      </c>
      <c r="G376" s="3" t="s">
        <v>21</v>
      </c>
      <c r="H376" s="4">
        <v>26.94</v>
      </c>
      <c r="I376" s="4">
        <v>6.59</v>
      </c>
      <c r="J376" s="5">
        <v>181023</v>
      </c>
      <c r="K376" s="5">
        <v>177150</v>
      </c>
      <c r="L376" s="5">
        <v>119713</v>
      </c>
      <c r="M376" s="3" t="s">
        <v>23</v>
      </c>
      <c r="N376" s="10">
        <v>23505</v>
      </c>
      <c r="O376" s="12">
        <f>(Fact_Table[[#This Row],[Petrol_Output_BPD]]+Fact_Table[[#This Row],[Diesel_Output_BPD]]+Fact_Table[[#This Row],[Gas_Output_BPD]])/Fact_Table[[#This Row],[No_of_Employees]]</f>
        <v>304.38598726114651</v>
      </c>
      <c r="P376" s="2" t="str">
        <f>IF(Fact_Table[[#This Row],[0/P Producyivity/Day]]&gt;=1000,"High",IF(Fact_Table[[#This Row],[0/P Producyivity/Day]]&gt;=500,"Medium","Low"))</f>
        <v>Low</v>
      </c>
      <c r="Q376" s="10">
        <f>Fact_Table[[#This Row],[Capacity_BPD]]/Fact_Table[[#This Row],[Average_Salary_AED]]</f>
        <v>20.331333758774729</v>
      </c>
      <c r="R376" s="15">
        <f>(Fact_Table[[#This Row],[Petrol_Output_BPD]]/Fact_Table[[#This Row],[Capacity_BPD]])</f>
        <v>0.37879796102852553</v>
      </c>
      <c r="S376" s="15">
        <f>Fact_Table[[#This Row],[Diesel_Output_BPD]]/Fact_Table[[#This Row],[Capacity_BPD]]</f>
        <v>0.3706935516271595</v>
      </c>
      <c r="T376" s="15">
        <f>Fact_Table[[#This Row],[Gas_Output_BPD]]/Fact_Table[[#This Row],[Capacity_BPD]]</f>
        <v>0.25050430226329184</v>
      </c>
      <c r="U37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76" s="8">
        <f ca="1">YEAR(TODAY())-Fact_Table[[#This Row],[Commissioned_Year]]</f>
        <v>10</v>
      </c>
      <c r="W376" s="40" cm="1">
        <f t="array" ref="W376">_xlfn.XLOOKUP(Fact_Table[[#This Row],[Commissioned_Year]],cost_table[[#All],[Year]],cost_table[[#All],[Average_Crude_Price_USD_per_Barrel]],"0")</f>
        <v>43.7</v>
      </c>
      <c r="X376" s="40">
        <f>Fact_Table[[#This Row],[Capacity_BPD]]*Fact_Table[[#This Row],[cost per barrel]]</f>
        <v>20883705.600000001</v>
      </c>
    </row>
    <row r="377" spans="1:24" x14ac:dyDescent="0.35">
      <c r="A377" t="s">
        <v>27</v>
      </c>
      <c r="B377" t="s">
        <v>41</v>
      </c>
      <c r="C377" t="s">
        <v>49</v>
      </c>
      <c r="D377" s="5">
        <v>346843</v>
      </c>
      <c r="E377" s="5">
        <v>2002</v>
      </c>
      <c r="F377" s="5">
        <v>1307</v>
      </c>
      <c r="G377" s="3" t="s">
        <v>28</v>
      </c>
      <c r="H377" s="4">
        <v>12.74</v>
      </c>
      <c r="I377" s="4">
        <v>6.65</v>
      </c>
      <c r="J377" s="5">
        <v>109103</v>
      </c>
      <c r="K377" s="5">
        <v>142202</v>
      </c>
      <c r="L377" s="5">
        <v>95537</v>
      </c>
      <c r="M377" s="3" t="s">
        <v>23</v>
      </c>
      <c r="N377" s="10">
        <v>13794</v>
      </c>
      <c r="O377" s="12">
        <f>(Fact_Table[[#This Row],[Petrol_Output_BPD]]+Fact_Table[[#This Row],[Diesel_Output_BPD]]+Fact_Table[[#This Row],[Gas_Output_BPD]])/Fact_Table[[#This Row],[No_of_Employees]]</f>
        <v>265.37260902830911</v>
      </c>
      <c r="P377" s="2" t="str">
        <f>IF(Fact_Table[[#This Row],[0/P Producyivity/Day]]&gt;=1000,"High",IF(Fact_Table[[#This Row],[0/P Producyivity/Day]]&gt;=500,"Medium","Low"))</f>
        <v>Low</v>
      </c>
      <c r="Q377" s="10">
        <f>Fact_Table[[#This Row],[Capacity_BPD]]/Fact_Table[[#This Row],[Average_Salary_AED]]</f>
        <v>25.144483108597942</v>
      </c>
      <c r="R377" s="15">
        <f>(Fact_Table[[#This Row],[Petrol_Output_BPD]]/Fact_Table[[#This Row],[Capacity_BPD]])</f>
        <v>0.31456019005717284</v>
      </c>
      <c r="S377" s="15">
        <f>Fact_Table[[#This Row],[Diesel_Output_BPD]]/Fact_Table[[#This Row],[Capacity_BPD]]</f>
        <v>0.40998953416963874</v>
      </c>
      <c r="T377" s="15">
        <f>Fact_Table[[#This Row],[Gas_Output_BPD]]/Fact_Table[[#This Row],[Capacity_BPD]]</f>
        <v>0.2754473926243286</v>
      </c>
      <c r="U377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77" s="8">
        <f ca="1">YEAR(TODAY())-Fact_Table[[#This Row],[Commissioned_Year]]</f>
        <v>23</v>
      </c>
      <c r="W377" s="40" cm="1">
        <f t="array" ref="W377">_xlfn.XLOOKUP(Fact_Table[[#This Row],[Commissioned_Year]],cost_table[[#All],[Year]],cost_table[[#All],[Average_Crude_Price_USD_per_Barrel]],"0")</f>
        <v>24.4</v>
      </c>
      <c r="X377" s="40">
        <f>Fact_Table[[#This Row],[Capacity_BPD]]*Fact_Table[[#This Row],[cost per barrel]]</f>
        <v>8462969.1999999993</v>
      </c>
    </row>
    <row r="378" spans="1:24" x14ac:dyDescent="0.35">
      <c r="A378" t="s">
        <v>27</v>
      </c>
      <c r="B378" t="s">
        <v>14</v>
      </c>
      <c r="C378" t="s">
        <v>39</v>
      </c>
      <c r="D378" s="5">
        <v>891014</v>
      </c>
      <c r="E378" s="5">
        <v>1997</v>
      </c>
      <c r="F378" s="5">
        <v>800</v>
      </c>
      <c r="G378" s="3" t="s">
        <v>21</v>
      </c>
      <c r="H378" s="4">
        <v>32.270000000000003</v>
      </c>
      <c r="I378" s="4">
        <v>8.35</v>
      </c>
      <c r="J378" s="5">
        <v>362535</v>
      </c>
      <c r="K378" s="5">
        <v>373190</v>
      </c>
      <c r="L378" s="5">
        <v>155287</v>
      </c>
      <c r="M378" s="3" t="s">
        <v>34</v>
      </c>
      <c r="N378" s="10">
        <v>23227</v>
      </c>
      <c r="O378" s="12">
        <f>(Fact_Table[[#This Row],[Petrol_Output_BPD]]+Fact_Table[[#This Row],[Diesel_Output_BPD]]+Fact_Table[[#This Row],[Gas_Output_BPD]])/Fact_Table[[#This Row],[No_of_Employees]]</f>
        <v>1113.7650000000001</v>
      </c>
      <c r="P378" s="2" t="str">
        <f>IF(Fact_Table[[#This Row],[0/P Producyivity/Day]]&gt;=1000,"High",IF(Fact_Table[[#This Row],[0/P Producyivity/Day]]&gt;=500,"Medium","Low"))</f>
        <v>High</v>
      </c>
      <c r="Q378" s="10">
        <f>Fact_Table[[#This Row],[Capacity_BPD]]/Fact_Table[[#This Row],[Average_Salary_AED]]</f>
        <v>38.361131441856458</v>
      </c>
      <c r="R378" s="15">
        <f>(Fact_Table[[#This Row],[Petrol_Output_BPD]]/Fact_Table[[#This Row],[Capacity_BPD]])</f>
        <v>0.40687912872300547</v>
      </c>
      <c r="S378" s="15">
        <f>Fact_Table[[#This Row],[Diesel_Output_BPD]]/Fact_Table[[#This Row],[Capacity_BPD]]</f>
        <v>0.41883741445140032</v>
      </c>
      <c r="T378" s="15">
        <f>Fact_Table[[#This Row],[Gas_Output_BPD]]/Fact_Table[[#This Row],[Capacity_BPD]]</f>
        <v>0.17428121219195208</v>
      </c>
      <c r="U378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78" s="8">
        <f ca="1">YEAR(TODAY())-Fact_Table[[#This Row],[Commissioned_Year]]</f>
        <v>28</v>
      </c>
      <c r="W378" s="40" cm="1">
        <f t="array" ref="W378">_xlfn.XLOOKUP(Fact_Table[[#This Row],[Commissioned_Year]],cost_table[[#All],[Year]],cost_table[[#All],[Average_Crude_Price_USD_per_Barrel]],"0")</f>
        <v>15</v>
      </c>
      <c r="X378" s="40">
        <f>Fact_Table[[#This Row],[Capacity_BPD]]*Fact_Table[[#This Row],[cost per barrel]]</f>
        <v>13365210</v>
      </c>
    </row>
    <row r="379" spans="1:24" x14ac:dyDescent="0.35">
      <c r="A379" t="s">
        <v>27</v>
      </c>
      <c r="B379" t="s">
        <v>40</v>
      </c>
      <c r="C379" t="s">
        <v>46</v>
      </c>
      <c r="D379" s="5">
        <v>846193</v>
      </c>
      <c r="E379" s="5">
        <v>1987</v>
      </c>
      <c r="F379" s="5">
        <v>840</v>
      </c>
      <c r="G379" s="3" t="s">
        <v>21</v>
      </c>
      <c r="H379" s="4">
        <v>15.68</v>
      </c>
      <c r="I379" s="4">
        <v>7.68</v>
      </c>
      <c r="J379" s="5">
        <v>306319</v>
      </c>
      <c r="K379" s="5">
        <v>371791</v>
      </c>
      <c r="L379" s="5">
        <v>168082</v>
      </c>
      <c r="M379" s="3" t="s">
        <v>23</v>
      </c>
      <c r="N379" s="10">
        <v>9414</v>
      </c>
      <c r="O379" s="12">
        <f>(Fact_Table[[#This Row],[Petrol_Output_BPD]]+Fact_Table[[#This Row],[Diesel_Output_BPD]]+Fact_Table[[#This Row],[Gas_Output_BPD]])/Fact_Table[[#This Row],[No_of_Employees]]</f>
        <v>1007.3714285714286</v>
      </c>
      <c r="P379" s="2" t="str">
        <f>IF(Fact_Table[[#This Row],[0/P Producyivity/Day]]&gt;=1000,"High",IF(Fact_Table[[#This Row],[0/P Producyivity/Day]]&gt;=500,"Medium","Low"))</f>
        <v>High</v>
      </c>
      <c r="Q379" s="10">
        <f>Fact_Table[[#This Row],[Capacity_BPD]]/Fact_Table[[#This Row],[Average_Salary_AED]]</f>
        <v>89.886658168684932</v>
      </c>
      <c r="R379" s="15">
        <f>(Fact_Table[[#This Row],[Petrol_Output_BPD]]/Fact_Table[[#This Row],[Capacity_BPD]])</f>
        <v>0.3619966130658136</v>
      </c>
      <c r="S379" s="15">
        <f>Fact_Table[[#This Row],[Diesel_Output_BPD]]/Fact_Table[[#This Row],[Capacity_BPD]]</f>
        <v>0.43936903283293527</v>
      </c>
      <c r="T379" s="15">
        <f>Fact_Table[[#This Row],[Gas_Output_BPD]]/Fact_Table[[#This Row],[Capacity_BPD]]</f>
        <v>0.19863317233775274</v>
      </c>
      <c r="U379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79" s="8">
        <f ca="1">YEAR(TODAY())-Fact_Table[[#This Row],[Commissioned_Year]]</f>
        <v>38</v>
      </c>
      <c r="W379" s="40" cm="1">
        <f t="array" ref="W379">_xlfn.XLOOKUP(Fact_Table[[#This Row],[Commissioned_Year]],cost_table[[#All],[Year]],cost_table[[#All],[Average_Crude_Price_USD_per_Barrel]],"0")</f>
        <v>18.399999999999999</v>
      </c>
      <c r="X379" s="40">
        <f>Fact_Table[[#This Row],[Capacity_BPD]]*Fact_Table[[#This Row],[cost per barrel]]</f>
        <v>15569951.199999999</v>
      </c>
    </row>
    <row r="380" spans="1:24" x14ac:dyDescent="0.35">
      <c r="A380" t="s">
        <v>18</v>
      </c>
      <c r="B380" t="s">
        <v>26</v>
      </c>
      <c r="C380" t="s">
        <v>49</v>
      </c>
      <c r="D380" s="5">
        <v>741610</v>
      </c>
      <c r="E380" s="5">
        <v>1975</v>
      </c>
      <c r="F380" s="5">
        <v>2105</v>
      </c>
      <c r="G380" s="3" t="s">
        <v>31</v>
      </c>
      <c r="H380" s="4">
        <v>14.36</v>
      </c>
      <c r="I380" s="4">
        <v>8.2100000000000009</v>
      </c>
      <c r="J380" s="5">
        <v>342582</v>
      </c>
      <c r="K380" s="5">
        <v>293936</v>
      </c>
      <c r="L380" s="5">
        <v>105090</v>
      </c>
      <c r="M380" s="3" t="s">
        <v>23</v>
      </c>
      <c r="N380" s="10">
        <v>19597</v>
      </c>
      <c r="O380" s="12">
        <f>(Fact_Table[[#This Row],[Petrol_Output_BPD]]+Fact_Table[[#This Row],[Diesel_Output_BPD]]+Fact_Table[[#This Row],[Gas_Output_BPD]])/Fact_Table[[#This Row],[No_of_Employees]]</f>
        <v>352.30783847980996</v>
      </c>
      <c r="P380" s="2" t="str">
        <f>IF(Fact_Table[[#This Row],[0/P Producyivity/Day]]&gt;=1000,"High",IF(Fact_Table[[#This Row],[0/P Producyivity/Day]]&gt;=500,"Medium","Low"))</f>
        <v>Low</v>
      </c>
      <c r="Q380" s="10">
        <f>Fact_Table[[#This Row],[Capacity_BPD]]/Fact_Table[[#This Row],[Average_Salary_AED]]</f>
        <v>37.843037199571363</v>
      </c>
      <c r="R380" s="15">
        <f>(Fact_Table[[#This Row],[Petrol_Output_BPD]]/Fact_Table[[#This Row],[Capacity_BPD]])</f>
        <v>0.46194360917463356</v>
      </c>
      <c r="S380" s="15">
        <f>Fact_Table[[#This Row],[Diesel_Output_BPD]]/Fact_Table[[#This Row],[Capacity_BPD]]</f>
        <v>0.39634848505279058</v>
      </c>
      <c r="T380" s="15">
        <f>Fact_Table[[#This Row],[Gas_Output_BPD]]/Fact_Table[[#This Row],[Capacity_BPD]]</f>
        <v>0.14170520893731206</v>
      </c>
      <c r="U380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80" s="8">
        <f ca="1">YEAR(TODAY())-Fact_Table[[#This Row],[Commissioned_Year]]</f>
        <v>50</v>
      </c>
      <c r="W380" s="40" cm="1">
        <f t="array" ref="W380">_xlfn.XLOOKUP(Fact_Table[[#This Row],[Commissioned_Year]],cost_table[[#All],[Year]],cost_table[[#All],[Average_Crude_Price_USD_per_Barrel]],"0")</f>
        <v>10.7</v>
      </c>
      <c r="X380" s="40">
        <f>Fact_Table[[#This Row],[Capacity_BPD]]*Fact_Table[[#This Row],[cost per barrel]]</f>
        <v>7935226.9999999991</v>
      </c>
    </row>
    <row r="381" spans="1:24" x14ac:dyDescent="0.35">
      <c r="A381" t="s">
        <v>45</v>
      </c>
      <c r="B381" t="s">
        <v>14</v>
      </c>
      <c r="C381" t="s">
        <v>39</v>
      </c>
      <c r="D381" s="5">
        <v>549426</v>
      </c>
      <c r="E381" s="5">
        <v>2022</v>
      </c>
      <c r="F381" s="5">
        <v>992</v>
      </c>
      <c r="G381" s="3" t="s">
        <v>31</v>
      </c>
      <c r="H381" s="4">
        <v>24.69</v>
      </c>
      <c r="I381" s="4">
        <v>8.06</v>
      </c>
      <c r="J381" s="5">
        <v>225229</v>
      </c>
      <c r="K381" s="5">
        <v>224798</v>
      </c>
      <c r="L381" s="5">
        <v>99397</v>
      </c>
      <c r="M381" s="3" t="s">
        <v>17</v>
      </c>
      <c r="N381" s="10">
        <v>13328</v>
      </c>
      <c r="O381" s="12">
        <f>(Fact_Table[[#This Row],[Petrol_Output_BPD]]+Fact_Table[[#This Row],[Diesel_Output_BPD]]+Fact_Table[[#This Row],[Gas_Output_BPD]])/Fact_Table[[#This Row],[No_of_Employees]]</f>
        <v>553.85483870967744</v>
      </c>
      <c r="P381" s="2" t="str">
        <f>IF(Fact_Table[[#This Row],[0/P Producyivity/Day]]&gt;=1000,"High",IF(Fact_Table[[#This Row],[0/P Producyivity/Day]]&gt;=500,"Medium","Low"))</f>
        <v>Medium</v>
      </c>
      <c r="Q381" s="10">
        <f>Fact_Table[[#This Row],[Capacity_BPD]]/Fact_Table[[#This Row],[Average_Salary_AED]]</f>
        <v>41.223439375750303</v>
      </c>
      <c r="R381" s="15">
        <f>(Fact_Table[[#This Row],[Petrol_Output_BPD]]/Fact_Table[[#This Row],[Capacity_BPD]])</f>
        <v>0.40993509590008481</v>
      </c>
      <c r="S381" s="15">
        <f>Fact_Table[[#This Row],[Diesel_Output_BPD]]/Fact_Table[[#This Row],[Capacity_BPD]]</f>
        <v>0.40915064085063318</v>
      </c>
      <c r="T381" s="15">
        <f>Fact_Table[[#This Row],[Gas_Output_BPD]]/Fact_Table[[#This Row],[Capacity_BPD]]</f>
        <v>0.18091062308663952</v>
      </c>
      <c r="U381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81" s="8">
        <f ca="1">YEAR(TODAY())-Fact_Table[[#This Row],[Commissioned_Year]]</f>
        <v>3</v>
      </c>
      <c r="W381" s="40" cm="1">
        <f t="array" ref="W381">_xlfn.XLOOKUP(Fact_Table[[#This Row],[Commissioned_Year]],cost_table[[#All],[Year]],cost_table[[#All],[Average_Crude_Price_USD_per_Barrel]],"0")</f>
        <v>71.3</v>
      </c>
      <c r="X381" s="40">
        <f>Fact_Table[[#This Row],[Capacity_BPD]]*Fact_Table[[#This Row],[cost per barrel]]</f>
        <v>39174073.799999997</v>
      </c>
    </row>
    <row r="382" spans="1:24" x14ac:dyDescent="0.35">
      <c r="A382" t="s">
        <v>60</v>
      </c>
      <c r="B382" t="s">
        <v>40</v>
      </c>
      <c r="C382" t="s">
        <v>50</v>
      </c>
      <c r="D382" s="5">
        <v>775643</v>
      </c>
      <c r="E382" s="5">
        <v>2011</v>
      </c>
      <c r="F382" s="5">
        <v>581</v>
      </c>
      <c r="G382" s="3" t="s">
        <v>28</v>
      </c>
      <c r="H382" s="4">
        <v>18.28</v>
      </c>
      <c r="I382" s="4">
        <v>5.97</v>
      </c>
      <c r="J382" s="5">
        <v>255115</v>
      </c>
      <c r="K382" s="5">
        <v>345544</v>
      </c>
      <c r="L382" s="5">
        <v>174983</v>
      </c>
      <c r="M382" s="3" t="s">
        <v>17</v>
      </c>
      <c r="N382" s="10">
        <v>24690</v>
      </c>
      <c r="O382" s="12">
        <f>(Fact_Table[[#This Row],[Petrol_Output_BPD]]+Fact_Table[[#This Row],[Diesel_Output_BPD]]+Fact_Table[[#This Row],[Gas_Output_BPD]])/Fact_Table[[#This Row],[No_of_Employees]]</f>
        <v>1335.0120481927711</v>
      </c>
      <c r="P382" s="2" t="str">
        <f>IF(Fact_Table[[#This Row],[0/P Producyivity/Day]]&gt;=1000,"High",IF(Fact_Table[[#This Row],[0/P Producyivity/Day]]&gt;=500,"Medium","Low"))</f>
        <v>High</v>
      </c>
      <c r="Q382" s="10">
        <f>Fact_Table[[#This Row],[Capacity_BPD]]/Fact_Table[[#This Row],[Average_Salary_AED]]</f>
        <v>31.41526933981369</v>
      </c>
      <c r="R382" s="15">
        <f>(Fact_Table[[#This Row],[Petrol_Output_BPD]]/Fact_Table[[#This Row],[Capacity_BPD]])</f>
        <v>0.32890775782157511</v>
      </c>
      <c r="S382" s="15">
        <f>Fact_Table[[#This Row],[Diesel_Output_BPD]]/Fact_Table[[#This Row],[Capacity_BPD]]</f>
        <v>0.4454936098179188</v>
      </c>
      <c r="T382" s="15">
        <f>Fact_Table[[#This Row],[Gas_Output_BPD]]/Fact_Table[[#This Row],[Capacity_BPD]]</f>
        <v>0.22559734310758944</v>
      </c>
      <c r="U38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82" s="8">
        <f ca="1">YEAR(TODAY())-Fact_Table[[#This Row],[Commissioned_Year]]</f>
        <v>14</v>
      </c>
      <c r="W382" s="40" cm="1">
        <f t="array" ref="W382">_xlfn.XLOOKUP(Fact_Table[[#This Row],[Commissioned_Year]],cost_table[[#All],[Year]],cost_table[[#All],[Average_Crude_Price_USD_per_Barrel]],"0")</f>
        <v>66.099999999999994</v>
      </c>
      <c r="X382" s="40">
        <f>Fact_Table[[#This Row],[Capacity_BPD]]*Fact_Table[[#This Row],[cost per barrel]]</f>
        <v>51270002.299999997</v>
      </c>
    </row>
    <row r="383" spans="1:24" x14ac:dyDescent="0.35">
      <c r="A383" t="s">
        <v>60</v>
      </c>
      <c r="B383" t="s">
        <v>26</v>
      </c>
      <c r="C383" t="s">
        <v>47</v>
      </c>
      <c r="D383" s="5">
        <v>227825</v>
      </c>
      <c r="E383" s="5">
        <v>2004</v>
      </c>
      <c r="F383" s="5">
        <v>1995</v>
      </c>
      <c r="G383" s="3" t="s">
        <v>16</v>
      </c>
      <c r="H383" s="4">
        <v>6.64</v>
      </c>
      <c r="I383" s="4">
        <v>5.79</v>
      </c>
      <c r="J383" s="5">
        <v>73508</v>
      </c>
      <c r="K383" s="5">
        <v>105500</v>
      </c>
      <c r="L383" s="5">
        <v>48816</v>
      </c>
      <c r="M383" s="3" t="s">
        <v>34</v>
      </c>
      <c r="N383" s="10">
        <v>16110</v>
      </c>
      <c r="O383" s="12">
        <f>(Fact_Table[[#This Row],[Petrol_Output_BPD]]+Fact_Table[[#This Row],[Diesel_Output_BPD]]+Fact_Table[[#This Row],[Gas_Output_BPD]])/Fact_Table[[#This Row],[No_of_Employees]]</f>
        <v>114.19749373433584</v>
      </c>
      <c r="P383" s="2" t="str">
        <f>IF(Fact_Table[[#This Row],[0/P Producyivity/Day]]&gt;=1000,"High",IF(Fact_Table[[#This Row],[0/P Producyivity/Day]]&gt;=500,"Medium","Low"))</f>
        <v>Low</v>
      </c>
      <c r="Q383" s="10">
        <f>Fact_Table[[#This Row],[Capacity_BPD]]/Fact_Table[[#This Row],[Average_Salary_AED]]</f>
        <v>14.141837368094352</v>
      </c>
      <c r="R383" s="15">
        <f>(Fact_Table[[#This Row],[Petrol_Output_BPD]]/Fact_Table[[#This Row],[Capacity_BPD]])</f>
        <v>0.32265115768682101</v>
      </c>
      <c r="S383" s="15">
        <f>Fact_Table[[#This Row],[Diesel_Output_BPD]]/Fact_Table[[#This Row],[Capacity_BPD]]</f>
        <v>0.46307472840996378</v>
      </c>
      <c r="T383" s="15">
        <f>Fact_Table[[#This Row],[Gas_Output_BPD]]/Fact_Table[[#This Row],[Capacity_BPD]]</f>
        <v>0.2142697245692966</v>
      </c>
      <c r="U383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83" s="8">
        <f ca="1">YEAR(TODAY())-Fact_Table[[#This Row],[Commissioned_Year]]</f>
        <v>21</v>
      </c>
      <c r="W383" s="40" cm="1">
        <f t="array" ref="W383">_xlfn.XLOOKUP(Fact_Table[[#This Row],[Commissioned_Year]],cost_table[[#All],[Year]],cost_table[[#All],[Average_Crude_Price_USD_per_Barrel]],"0")</f>
        <v>18.600000000000001</v>
      </c>
      <c r="X383" s="40">
        <f>Fact_Table[[#This Row],[Capacity_BPD]]*Fact_Table[[#This Row],[cost per barrel]]</f>
        <v>4237545</v>
      </c>
    </row>
    <row r="384" spans="1:24" x14ac:dyDescent="0.35">
      <c r="A384" t="s">
        <v>45</v>
      </c>
      <c r="B384" t="s">
        <v>26</v>
      </c>
      <c r="C384" t="s">
        <v>49</v>
      </c>
      <c r="D384" s="5">
        <v>544536</v>
      </c>
      <c r="E384" s="5">
        <v>1995</v>
      </c>
      <c r="F384" s="5">
        <v>1908</v>
      </c>
      <c r="G384" s="3" t="s">
        <v>28</v>
      </c>
      <c r="H384" s="4">
        <v>10.73</v>
      </c>
      <c r="I384" s="4">
        <v>7.74</v>
      </c>
      <c r="J384" s="5">
        <v>228327</v>
      </c>
      <c r="K384" s="5">
        <v>195432</v>
      </c>
      <c r="L384" s="5">
        <v>120775</v>
      </c>
      <c r="M384" s="3" t="s">
        <v>38</v>
      </c>
      <c r="N384" s="10">
        <v>18867</v>
      </c>
      <c r="O384" s="12">
        <f>(Fact_Table[[#This Row],[Petrol_Output_BPD]]+Fact_Table[[#This Row],[Diesel_Output_BPD]]+Fact_Table[[#This Row],[Gas_Output_BPD]])/Fact_Table[[#This Row],[No_of_Employees]]</f>
        <v>285.39517819706498</v>
      </c>
      <c r="P384" s="2" t="str">
        <f>IF(Fact_Table[[#This Row],[0/P Producyivity/Day]]&gt;=1000,"High",IF(Fact_Table[[#This Row],[0/P Producyivity/Day]]&gt;=500,"Medium","Low"))</f>
        <v>Low</v>
      </c>
      <c r="Q384" s="10">
        <f>Fact_Table[[#This Row],[Capacity_BPD]]/Fact_Table[[#This Row],[Average_Salary_AED]]</f>
        <v>28.861822229289235</v>
      </c>
      <c r="R384" s="15">
        <f>(Fact_Table[[#This Row],[Petrol_Output_BPD]]/Fact_Table[[#This Row],[Capacity_BPD]])</f>
        <v>0.41930561064833177</v>
      </c>
      <c r="S384" s="15">
        <f>Fact_Table[[#This Row],[Diesel_Output_BPD]]/Fact_Table[[#This Row],[Capacity_BPD]]</f>
        <v>0.35889638150645686</v>
      </c>
      <c r="T384" s="15">
        <f>Fact_Table[[#This Row],[Gas_Output_BPD]]/Fact_Table[[#This Row],[Capacity_BPD]]</f>
        <v>0.22179433499346232</v>
      </c>
      <c r="U384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84" s="8">
        <f ca="1">YEAR(TODAY())-Fact_Table[[#This Row],[Commissioned_Year]]</f>
        <v>30</v>
      </c>
      <c r="W384" s="40" cm="1">
        <f t="array" ref="W384">_xlfn.XLOOKUP(Fact_Table[[#This Row],[Commissioned_Year]],cost_table[[#All],[Year]],cost_table[[#All],[Average_Crude_Price_USD_per_Barrel]],"0")</f>
        <v>20.100000000000001</v>
      </c>
      <c r="X384" s="40">
        <f>Fact_Table[[#This Row],[Capacity_BPD]]*Fact_Table[[#This Row],[cost per barrel]]</f>
        <v>10945173.600000001</v>
      </c>
    </row>
    <row r="385" spans="1:24" x14ac:dyDescent="0.35">
      <c r="A385" t="s">
        <v>24</v>
      </c>
      <c r="B385" t="s">
        <v>40</v>
      </c>
      <c r="C385" t="s">
        <v>50</v>
      </c>
      <c r="D385" s="5">
        <v>459248</v>
      </c>
      <c r="E385" s="5">
        <v>1995</v>
      </c>
      <c r="F385" s="5">
        <v>1900</v>
      </c>
      <c r="G385" s="3" t="s">
        <v>31</v>
      </c>
      <c r="H385" s="4">
        <v>24.86</v>
      </c>
      <c r="I385" s="4">
        <v>5.51</v>
      </c>
      <c r="J385" s="5">
        <v>172092</v>
      </c>
      <c r="K385" s="5">
        <v>209458</v>
      </c>
      <c r="L385" s="5">
        <v>77696</v>
      </c>
      <c r="M385" s="3" t="s">
        <v>29</v>
      </c>
      <c r="N385" s="10">
        <v>9028</v>
      </c>
      <c r="O385" s="12">
        <f>(Fact_Table[[#This Row],[Petrol_Output_BPD]]+Fact_Table[[#This Row],[Diesel_Output_BPD]]+Fact_Table[[#This Row],[Gas_Output_BPD]])/Fact_Table[[#This Row],[No_of_Employees]]</f>
        <v>241.70842105263159</v>
      </c>
      <c r="P385" s="2" t="str">
        <f>IF(Fact_Table[[#This Row],[0/P Producyivity/Day]]&gt;=1000,"High",IF(Fact_Table[[#This Row],[0/P Producyivity/Day]]&gt;=500,"Medium","Low"))</f>
        <v>Low</v>
      </c>
      <c r="Q385" s="10">
        <f>Fact_Table[[#This Row],[Capacity_BPD]]/Fact_Table[[#This Row],[Average_Salary_AED]]</f>
        <v>50.86929552503323</v>
      </c>
      <c r="R385" s="15">
        <f>(Fact_Table[[#This Row],[Petrol_Output_BPD]]/Fact_Table[[#This Row],[Capacity_BPD]])</f>
        <v>0.37472563843500678</v>
      </c>
      <c r="S385" s="15">
        <f>Fact_Table[[#This Row],[Diesel_Output_BPD]]/Fact_Table[[#This Row],[Capacity_BPD]]</f>
        <v>0.45608908476465876</v>
      </c>
      <c r="T385" s="15">
        <f>Fact_Table[[#This Row],[Gas_Output_BPD]]/Fact_Table[[#This Row],[Capacity_BPD]]</f>
        <v>0.16918092185485839</v>
      </c>
      <c r="U385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85" s="8">
        <f ca="1">YEAR(TODAY())-Fact_Table[[#This Row],[Commissioned_Year]]</f>
        <v>30</v>
      </c>
      <c r="W385" s="40" cm="1">
        <f t="array" ref="W385">_xlfn.XLOOKUP(Fact_Table[[#This Row],[Commissioned_Year]],cost_table[[#All],[Year]],cost_table[[#All],[Average_Crude_Price_USD_per_Barrel]],"0")</f>
        <v>20.100000000000001</v>
      </c>
      <c r="X385" s="40">
        <f>Fact_Table[[#This Row],[Capacity_BPD]]*Fact_Table[[#This Row],[cost per barrel]]</f>
        <v>9230884.8000000007</v>
      </c>
    </row>
    <row r="386" spans="1:24" x14ac:dyDescent="0.35">
      <c r="A386" t="s">
        <v>18</v>
      </c>
      <c r="B386" t="s">
        <v>32</v>
      </c>
      <c r="C386" t="s">
        <v>33</v>
      </c>
      <c r="D386" s="5">
        <v>724592</v>
      </c>
      <c r="E386" s="5">
        <v>1989</v>
      </c>
      <c r="F386" s="5">
        <v>2424</v>
      </c>
      <c r="G386" s="3" t="s">
        <v>31</v>
      </c>
      <c r="H386" s="4">
        <v>3.97</v>
      </c>
      <c r="I386" s="4">
        <v>8.25</v>
      </c>
      <c r="J386" s="5">
        <v>339196</v>
      </c>
      <c r="K386" s="5">
        <v>281217</v>
      </c>
      <c r="L386" s="5">
        <v>104177</v>
      </c>
      <c r="M386" s="3" t="s">
        <v>38</v>
      </c>
      <c r="N386" s="10">
        <v>16202</v>
      </c>
      <c r="O386" s="12">
        <f>(Fact_Table[[#This Row],[Petrol_Output_BPD]]+Fact_Table[[#This Row],[Diesel_Output_BPD]]+Fact_Table[[#This Row],[Gas_Output_BPD]])/Fact_Table[[#This Row],[No_of_Employees]]</f>
        <v>298.92326732673268</v>
      </c>
      <c r="P386" s="2" t="str">
        <f>IF(Fact_Table[[#This Row],[0/P Producyivity/Day]]&gt;=1000,"High",IF(Fact_Table[[#This Row],[0/P Producyivity/Day]]&gt;=500,"Medium","Low"))</f>
        <v>Low</v>
      </c>
      <c r="Q386" s="10">
        <f>Fact_Table[[#This Row],[Capacity_BPD]]/Fact_Table[[#This Row],[Average_Salary_AED]]</f>
        <v>44.722379953092208</v>
      </c>
      <c r="R386" s="15">
        <f>(Fact_Table[[#This Row],[Petrol_Output_BPD]]/Fact_Table[[#This Row],[Capacity_BPD]])</f>
        <v>0.46811999028418749</v>
      </c>
      <c r="S386" s="15">
        <f>Fact_Table[[#This Row],[Diesel_Output_BPD]]/Fact_Table[[#This Row],[Capacity_BPD]]</f>
        <v>0.38810392607149957</v>
      </c>
      <c r="T386" s="15">
        <f>Fact_Table[[#This Row],[Gas_Output_BPD]]/Fact_Table[[#This Row],[Capacity_BPD]]</f>
        <v>0.14377332347031158</v>
      </c>
      <c r="U386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86" s="8">
        <f ca="1">YEAR(TODAY())-Fact_Table[[#This Row],[Commissioned_Year]]</f>
        <v>36</v>
      </c>
      <c r="W386" s="40" cm="1">
        <f t="array" ref="W386">_xlfn.XLOOKUP(Fact_Table[[#This Row],[Commissioned_Year]],cost_table[[#All],[Year]],cost_table[[#All],[Average_Crude_Price_USD_per_Barrel]],"0")</f>
        <v>18.2</v>
      </c>
      <c r="X386" s="40">
        <f>Fact_Table[[#This Row],[Capacity_BPD]]*Fact_Table[[#This Row],[cost per barrel]]</f>
        <v>13187574.4</v>
      </c>
    </row>
    <row r="387" spans="1:24" x14ac:dyDescent="0.35">
      <c r="A387" t="s">
        <v>27</v>
      </c>
      <c r="B387" t="s">
        <v>26</v>
      </c>
      <c r="C387" t="s">
        <v>50</v>
      </c>
      <c r="D387" s="5">
        <v>200782</v>
      </c>
      <c r="E387" s="5">
        <v>2007</v>
      </c>
      <c r="F387" s="5">
        <v>1927</v>
      </c>
      <c r="G387" s="3" t="s">
        <v>16</v>
      </c>
      <c r="H387" s="4">
        <v>10.18</v>
      </c>
      <c r="I387" s="4">
        <v>8.1</v>
      </c>
      <c r="J387" s="5">
        <v>81757</v>
      </c>
      <c r="K387" s="5">
        <v>95554</v>
      </c>
      <c r="L387" s="5">
        <v>23470</v>
      </c>
      <c r="M387" s="3" t="s">
        <v>23</v>
      </c>
      <c r="N387" s="10">
        <v>13809</v>
      </c>
      <c r="O387" s="12">
        <f>(Fact_Table[[#This Row],[Petrol_Output_BPD]]+Fact_Table[[#This Row],[Diesel_Output_BPD]]+Fact_Table[[#This Row],[Gas_Output_BPD]])/Fact_Table[[#This Row],[No_of_Employees]]</f>
        <v>104.19356512714063</v>
      </c>
      <c r="P387" s="2" t="str">
        <f>IF(Fact_Table[[#This Row],[0/P Producyivity/Day]]&gt;=1000,"High",IF(Fact_Table[[#This Row],[0/P Producyivity/Day]]&gt;=500,"Medium","Low"))</f>
        <v>Low</v>
      </c>
      <c r="Q387" s="10">
        <f>Fact_Table[[#This Row],[Capacity_BPD]]/Fact_Table[[#This Row],[Average_Salary_AED]]</f>
        <v>14.539937721775653</v>
      </c>
      <c r="R387" s="15">
        <f>(Fact_Table[[#This Row],[Petrol_Output_BPD]]/Fact_Table[[#This Row],[Capacity_BPD]])</f>
        <v>0.40719287585540537</v>
      </c>
      <c r="S387" s="15">
        <f>Fact_Table[[#This Row],[Diesel_Output_BPD]]/Fact_Table[[#This Row],[Capacity_BPD]]</f>
        <v>0.47590919504736479</v>
      </c>
      <c r="T387" s="15">
        <f>Fact_Table[[#This Row],[Gas_Output_BPD]]/Fact_Table[[#This Row],[Capacity_BPD]]</f>
        <v>0.11689294857108705</v>
      </c>
      <c r="U387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87" s="8">
        <f ca="1">YEAR(TODAY())-Fact_Table[[#This Row],[Commissioned_Year]]</f>
        <v>18</v>
      </c>
      <c r="W387" s="40" cm="1">
        <f t="array" ref="W387">_xlfn.XLOOKUP(Fact_Table[[#This Row],[Commissioned_Year]],cost_table[[#All],[Year]],cost_table[[#All],[Average_Crude_Price_USD_per_Barrel]],"0")</f>
        <v>24.4</v>
      </c>
      <c r="X387" s="40">
        <f>Fact_Table[[#This Row],[Capacity_BPD]]*Fact_Table[[#This Row],[cost per barrel]]</f>
        <v>4899080.8</v>
      </c>
    </row>
    <row r="388" spans="1:24" x14ac:dyDescent="0.35">
      <c r="A388" t="s">
        <v>35</v>
      </c>
      <c r="B388" t="s">
        <v>40</v>
      </c>
      <c r="C388" t="s">
        <v>50</v>
      </c>
      <c r="D388" s="5">
        <v>379850</v>
      </c>
      <c r="E388" s="5">
        <v>2009</v>
      </c>
      <c r="F388" s="5">
        <v>1788</v>
      </c>
      <c r="G388" s="3" t="s">
        <v>16</v>
      </c>
      <c r="H388" s="4">
        <v>19.95</v>
      </c>
      <c r="I388" s="4">
        <v>6.49</v>
      </c>
      <c r="J388" s="5">
        <v>147252</v>
      </c>
      <c r="K388" s="5">
        <v>166619</v>
      </c>
      <c r="L388" s="5">
        <v>65978</v>
      </c>
      <c r="M388" s="3" t="s">
        <v>23</v>
      </c>
      <c r="N388" s="10">
        <v>20134</v>
      </c>
      <c r="O388" s="12">
        <f>(Fact_Table[[#This Row],[Petrol_Output_BPD]]+Fact_Table[[#This Row],[Diesel_Output_BPD]]+Fact_Table[[#This Row],[Gas_Output_BPD]])/Fact_Table[[#This Row],[No_of_Employees]]</f>
        <v>212.44351230425056</v>
      </c>
      <c r="P388" s="2" t="str">
        <f>IF(Fact_Table[[#This Row],[0/P Producyivity/Day]]&gt;=1000,"High",IF(Fact_Table[[#This Row],[0/P Producyivity/Day]]&gt;=500,"Medium","Low"))</f>
        <v>Low</v>
      </c>
      <c r="Q388" s="10">
        <f>Fact_Table[[#This Row],[Capacity_BPD]]/Fact_Table[[#This Row],[Average_Salary_AED]]</f>
        <v>18.866097149101023</v>
      </c>
      <c r="R388" s="15">
        <f>(Fact_Table[[#This Row],[Petrol_Output_BPD]]/Fact_Table[[#This Row],[Capacity_BPD]])</f>
        <v>0.38765828616559167</v>
      </c>
      <c r="S388" s="15">
        <f>Fact_Table[[#This Row],[Diesel_Output_BPD]]/Fact_Table[[#This Row],[Capacity_BPD]]</f>
        <v>0.43864420165854945</v>
      </c>
      <c r="T388" s="15">
        <f>Fact_Table[[#This Row],[Gas_Output_BPD]]/Fact_Table[[#This Row],[Capacity_BPD]]</f>
        <v>0.17369487955772014</v>
      </c>
      <c r="U38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88" s="8">
        <f ca="1">YEAR(TODAY())-Fact_Table[[#This Row],[Commissioned_Year]]</f>
        <v>16</v>
      </c>
      <c r="W388" s="40" cm="1">
        <f t="array" ref="W388">_xlfn.XLOOKUP(Fact_Table[[#This Row],[Commissioned_Year]],cost_table[[#All],[Year]],cost_table[[#All],[Average_Crude_Price_USD_per_Barrel]],"0")</f>
        <v>41.4</v>
      </c>
      <c r="X388" s="40">
        <f>Fact_Table[[#This Row],[Capacity_BPD]]*Fact_Table[[#This Row],[cost per barrel]]</f>
        <v>15725790</v>
      </c>
    </row>
    <row r="389" spans="1:24" x14ac:dyDescent="0.35">
      <c r="A389" t="s">
        <v>37</v>
      </c>
      <c r="B389" t="s">
        <v>19</v>
      </c>
      <c r="C389" t="s">
        <v>39</v>
      </c>
      <c r="D389" s="5">
        <v>148253</v>
      </c>
      <c r="E389" s="5">
        <v>1978</v>
      </c>
      <c r="F389" s="5">
        <v>1945</v>
      </c>
      <c r="G389" s="3" t="s">
        <v>16</v>
      </c>
      <c r="H389" s="4">
        <v>30.56</v>
      </c>
      <c r="I389" s="4">
        <v>6.39</v>
      </c>
      <c r="J389" s="5">
        <v>56827</v>
      </c>
      <c r="K389" s="5">
        <v>60094</v>
      </c>
      <c r="L389" s="5">
        <v>31331</v>
      </c>
      <c r="M389" s="3" t="s">
        <v>17</v>
      </c>
      <c r="N389" s="10">
        <v>17273</v>
      </c>
      <c r="O389" s="12">
        <f>(Fact_Table[[#This Row],[Petrol_Output_BPD]]+Fact_Table[[#This Row],[Diesel_Output_BPD]]+Fact_Table[[#This Row],[Gas_Output_BPD]])/Fact_Table[[#This Row],[No_of_Employees]]</f>
        <v>76.222107969151665</v>
      </c>
      <c r="P389" s="2" t="str">
        <f>IF(Fact_Table[[#This Row],[0/P Producyivity/Day]]&gt;=1000,"High",IF(Fact_Table[[#This Row],[0/P Producyivity/Day]]&gt;=500,"Medium","Low"))</f>
        <v>Low</v>
      </c>
      <c r="Q389" s="10">
        <f>Fact_Table[[#This Row],[Capacity_BPD]]/Fact_Table[[#This Row],[Average_Salary_AED]]</f>
        <v>8.5829329010594577</v>
      </c>
      <c r="R389" s="15">
        <f>(Fact_Table[[#This Row],[Petrol_Output_BPD]]/Fact_Table[[#This Row],[Capacity_BPD]])</f>
        <v>0.38331096166688028</v>
      </c>
      <c r="S389" s="15">
        <f>Fact_Table[[#This Row],[Diesel_Output_BPD]]/Fact_Table[[#This Row],[Capacity_BPD]]</f>
        <v>0.40534761522532425</v>
      </c>
      <c r="T389" s="15">
        <f>Fact_Table[[#This Row],[Gas_Output_BPD]]/Fact_Table[[#This Row],[Capacity_BPD]]</f>
        <v>0.21133467788172922</v>
      </c>
      <c r="U389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89" s="8">
        <f ca="1">YEAR(TODAY())-Fact_Table[[#This Row],[Commissioned_Year]]</f>
        <v>47</v>
      </c>
      <c r="W389" s="40" cm="1">
        <f t="array" ref="W389">_xlfn.XLOOKUP(Fact_Table[[#This Row],[Commissioned_Year]],cost_table[[#All],[Year]],cost_table[[#All],[Average_Crude_Price_USD_per_Barrel]],"0")</f>
        <v>13</v>
      </c>
      <c r="X389" s="40">
        <f>Fact_Table[[#This Row],[Capacity_BPD]]*Fact_Table[[#This Row],[cost per barrel]]</f>
        <v>1927289</v>
      </c>
    </row>
    <row r="390" spans="1:24" x14ac:dyDescent="0.35">
      <c r="A390" t="s">
        <v>45</v>
      </c>
      <c r="B390" t="s">
        <v>25</v>
      </c>
      <c r="C390" t="s">
        <v>15</v>
      </c>
      <c r="D390" s="5">
        <v>272574</v>
      </c>
      <c r="E390" s="5">
        <v>1983</v>
      </c>
      <c r="F390" s="5">
        <v>1668</v>
      </c>
      <c r="G390" s="3" t="s">
        <v>21</v>
      </c>
      <c r="H390" s="4">
        <v>8.1999999999999993</v>
      </c>
      <c r="I390" s="4">
        <v>5.32</v>
      </c>
      <c r="J390" s="5">
        <v>97490</v>
      </c>
      <c r="K390" s="5">
        <v>108387</v>
      </c>
      <c r="L390" s="5">
        <v>66696</v>
      </c>
      <c r="M390" s="3" t="s">
        <v>23</v>
      </c>
      <c r="N390" s="10">
        <v>13912</v>
      </c>
      <c r="O390" s="12">
        <f>(Fact_Table[[#This Row],[Petrol_Output_BPD]]+Fact_Table[[#This Row],[Diesel_Output_BPD]]+Fact_Table[[#This Row],[Gas_Output_BPD]])/Fact_Table[[#This Row],[No_of_Employees]]</f>
        <v>163.4130695443645</v>
      </c>
      <c r="P390" s="2" t="str">
        <f>IF(Fact_Table[[#This Row],[0/P Producyivity/Day]]&gt;=1000,"High",IF(Fact_Table[[#This Row],[0/P Producyivity/Day]]&gt;=500,"Medium","Low"))</f>
        <v>Low</v>
      </c>
      <c r="Q390" s="10">
        <f>Fact_Table[[#This Row],[Capacity_BPD]]/Fact_Table[[#This Row],[Average_Salary_AED]]</f>
        <v>19.592725704427831</v>
      </c>
      <c r="R390" s="15">
        <f>(Fact_Table[[#This Row],[Petrol_Output_BPD]]/Fact_Table[[#This Row],[Capacity_BPD]])</f>
        <v>0.35766434069280267</v>
      </c>
      <c r="S390" s="15">
        <f>Fact_Table[[#This Row],[Diesel_Output_BPD]]/Fact_Table[[#This Row],[Capacity_BPD]]</f>
        <v>0.39764247507098988</v>
      </c>
      <c r="T390" s="15">
        <f>Fact_Table[[#This Row],[Gas_Output_BPD]]/Fact_Table[[#This Row],[Capacity_BPD]]</f>
        <v>0.24468951550771534</v>
      </c>
      <c r="U390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90" s="8">
        <f ca="1">YEAR(TODAY())-Fact_Table[[#This Row],[Commissioned_Year]]</f>
        <v>42</v>
      </c>
      <c r="W390" s="40" cm="1">
        <f t="array" ref="W390">_xlfn.XLOOKUP(Fact_Table[[#This Row],[Commissioned_Year]],cost_table[[#All],[Year]],cost_table[[#All],[Average_Crude_Price_USD_per_Barrel]],"0")</f>
        <v>29</v>
      </c>
      <c r="X390" s="40">
        <f>Fact_Table[[#This Row],[Capacity_BPD]]*Fact_Table[[#This Row],[cost per barrel]]</f>
        <v>7904646</v>
      </c>
    </row>
    <row r="391" spans="1:24" x14ac:dyDescent="0.35">
      <c r="A391" t="s">
        <v>36</v>
      </c>
      <c r="B391" t="s">
        <v>41</v>
      </c>
      <c r="C391" t="s">
        <v>51</v>
      </c>
      <c r="D391" s="5">
        <v>664066</v>
      </c>
      <c r="E391" s="5">
        <v>2005</v>
      </c>
      <c r="F391" s="5">
        <v>759</v>
      </c>
      <c r="G391" s="3" t="s">
        <v>31</v>
      </c>
      <c r="H391" s="4">
        <v>23.87</v>
      </c>
      <c r="I391" s="4">
        <v>6.65</v>
      </c>
      <c r="J391" s="5">
        <v>210609</v>
      </c>
      <c r="K391" s="5">
        <v>271683</v>
      </c>
      <c r="L391" s="5">
        <v>181772</v>
      </c>
      <c r="M391" s="3" t="s">
        <v>34</v>
      </c>
      <c r="N391" s="10">
        <v>20353</v>
      </c>
      <c r="O391" s="12">
        <f>(Fact_Table[[#This Row],[Petrol_Output_BPD]]+Fact_Table[[#This Row],[Diesel_Output_BPD]]+Fact_Table[[#This Row],[Gas_Output_BPD]])/Fact_Table[[#This Row],[No_of_Employees]]</f>
        <v>874.91963109354413</v>
      </c>
      <c r="P391" s="2" t="str">
        <f>IF(Fact_Table[[#This Row],[0/P Producyivity/Day]]&gt;=1000,"High",IF(Fact_Table[[#This Row],[0/P Producyivity/Day]]&gt;=500,"Medium","Low"))</f>
        <v>Medium</v>
      </c>
      <c r="Q391" s="10">
        <f>Fact_Table[[#This Row],[Capacity_BPD]]/Fact_Table[[#This Row],[Average_Salary_AED]]</f>
        <v>32.62742593229499</v>
      </c>
      <c r="R391" s="15">
        <f>(Fact_Table[[#This Row],[Petrol_Output_BPD]]/Fact_Table[[#This Row],[Capacity_BPD]])</f>
        <v>0.31715070489981417</v>
      </c>
      <c r="S391" s="15">
        <f>Fact_Table[[#This Row],[Diesel_Output_BPD]]/Fact_Table[[#This Row],[Capacity_BPD]]</f>
        <v>0.40912047898853426</v>
      </c>
      <c r="T391" s="15">
        <f>Fact_Table[[#This Row],[Gas_Output_BPD]]/Fact_Table[[#This Row],[Capacity_BPD]]</f>
        <v>0.27372580436281935</v>
      </c>
      <c r="U39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91" s="8">
        <f ca="1">YEAR(TODAY())-Fact_Table[[#This Row],[Commissioned_Year]]</f>
        <v>20</v>
      </c>
      <c r="W391" s="40" cm="1">
        <f t="array" ref="W391">_xlfn.XLOOKUP(Fact_Table[[#This Row],[Commissioned_Year]],cost_table[[#All],[Year]],cost_table[[#All],[Average_Crude_Price_USD_per_Barrel]],"0")</f>
        <v>25</v>
      </c>
      <c r="X391" s="40">
        <f>Fact_Table[[#This Row],[Capacity_BPD]]*Fact_Table[[#This Row],[cost per barrel]]</f>
        <v>16601650</v>
      </c>
    </row>
    <row r="392" spans="1:24" x14ac:dyDescent="0.35">
      <c r="A392" t="s">
        <v>45</v>
      </c>
      <c r="B392" t="s">
        <v>40</v>
      </c>
      <c r="C392" t="s">
        <v>15</v>
      </c>
      <c r="D392" s="5">
        <v>641781</v>
      </c>
      <c r="E392" s="5">
        <v>2017</v>
      </c>
      <c r="F392" s="5">
        <v>1444</v>
      </c>
      <c r="G392" s="3" t="s">
        <v>28</v>
      </c>
      <c r="H392" s="4">
        <v>12.85</v>
      </c>
      <c r="I392" s="4">
        <v>8.8699999999999992</v>
      </c>
      <c r="J392" s="5">
        <v>207686</v>
      </c>
      <c r="K392" s="5">
        <v>307059</v>
      </c>
      <c r="L392" s="5">
        <v>127035</v>
      </c>
      <c r="M392" s="3" t="s">
        <v>17</v>
      </c>
      <c r="N392" s="10">
        <v>9472</v>
      </c>
      <c r="O392" s="12">
        <f>(Fact_Table[[#This Row],[Petrol_Output_BPD]]+Fact_Table[[#This Row],[Diesel_Output_BPD]]+Fact_Table[[#This Row],[Gas_Output_BPD]])/Fact_Table[[#This Row],[No_of_Employees]]</f>
        <v>444.4459833795014</v>
      </c>
      <c r="P392" s="2" t="str">
        <f>IF(Fact_Table[[#This Row],[0/P Producyivity/Day]]&gt;=1000,"High",IF(Fact_Table[[#This Row],[0/P Producyivity/Day]]&gt;=500,"Medium","Low"))</f>
        <v>Low</v>
      </c>
      <c r="Q392" s="10">
        <f>Fact_Table[[#This Row],[Capacity_BPD]]/Fact_Table[[#This Row],[Average_Salary_AED]]</f>
        <v>67.755595439189193</v>
      </c>
      <c r="R392" s="15">
        <f>(Fact_Table[[#This Row],[Petrol_Output_BPD]]/Fact_Table[[#This Row],[Capacity_BPD]])</f>
        <v>0.32360883229637527</v>
      </c>
      <c r="S392" s="15">
        <f>Fact_Table[[#This Row],[Diesel_Output_BPD]]/Fact_Table[[#This Row],[Capacity_BPD]]</f>
        <v>0.47844825571339755</v>
      </c>
      <c r="T392" s="15">
        <f>Fact_Table[[#This Row],[Gas_Output_BPD]]/Fact_Table[[#This Row],[Capacity_BPD]]</f>
        <v>0.19794135382630523</v>
      </c>
      <c r="U392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92" s="8">
        <f ca="1">YEAR(TODAY())-Fact_Table[[#This Row],[Commissioned_Year]]</f>
        <v>8</v>
      </c>
      <c r="W392" s="40" cm="1">
        <f t="array" ref="W392">_xlfn.XLOOKUP(Fact_Table[[#This Row],[Commissioned_Year]],cost_table[[#All],[Year]],cost_table[[#All],[Average_Crude_Price_USD_per_Barrel]],"0")</f>
        <v>71.3</v>
      </c>
      <c r="X392" s="40">
        <f>Fact_Table[[#This Row],[Capacity_BPD]]*Fact_Table[[#This Row],[cost per barrel]]</f>
        <v>45758985.299999997</v>
      </c>
    </row>
    <row r="393" spans="1:24" x14ac:dyDescent="0.35">
      <c r="A393" t="s">
        <v>37</v>
      </c>
      <c r="B393" t="s">
        <v>25</v>
      </c>
      <c r="C393" t="s">
        <v>33</v>
      </c>
      <c r="D393" s="5">
        <v>419356</v>
      </c>
      <c r="E393" s="5">
        <v>2009</v>
      </c>
      <c r="F393" s="5">
        <v>1731</v>
      </c>
      <c r="G393" s="3" t="s">
        <v>21</v>
      </c>
      <c r="H393" s="4">
        <v>9.1999999999999993</v>
      </c>
      <c r="I393" s="4">
        <v>8.74</v>
      </c>
      <c r="J393" s="5">
        <v>162806</v>
      </c>
      <c r="K393" s="5">
        <v>153470</v>
      </c>
      <c r="L393" s="5">
        <v>103079</v>
      </c>
      <c r="M393" s="3" t="s">
        <v>29</v>
      </c>
      <c r="N393" s="10">
        <v>15986</v>
      </c>
      <c r="O393" s="12">
        <f>(Fact_Table[[#This Row],[Petrol_Output_BPD]]+Fact_Table[[#This Row],[Diesel_Output_BPD]]+Fact_Table[[#This Row],[Gas_Output_BPD]])/Fact_Table[[#This Row],[No_of_Employees]]</f>
        <v>242.26169844020797</v>
      </c>
      <c r="P393" s="2" t="str">
        <f>IF(Fact_Table[[#This Row],[0/P Producyivity/Day]]&gt;=1000,"High",IF(Fact_Table[[#This Row],[0/P Producyivity/Day]]&gt;=500,"Medium","Low"))</f>
        <v>Low</v>
      </c>
      <c r="Q393" s="10">
        <f>Fact_Table[[#This Row],[Capacity_BPD]]/Fact_Table[[#This Row],[Average_Salary_AED]]</f>
        <v>26.232703615663706</v>
      </c>
      <c r="R393" s="15">
        <f>(Fact_Table[[#This Row],[Petrol_Output_BPD]]/Fact_Table[[#This Row],[Capacity_BPD]])</f>
        <v>0.38822861721306001</v>
      </c>
      <c r="S393" s="15">
        <f>Fact_Table[[#This Row],[Diesel_Output_BPD]]/Fact_Table[[#This Row],[Capacity_BPD]]</f>
        <v>0.36596590963286563</v>
      </c>
      <c r="T393" s="15">
        <f>Fact_Table[[#This Row],[Gas_Output_BPD]]/Fact_Table[[#This Row],[Capacity_BPD]]</f>
        <v>0.24580308854529326</v>
      </c>
      <c r="U393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93" s="8">
        <f ca="1">YEAR(TODAY())-Fact_Table[[#This Row],[Commissioned_Year]]</f>
        <v>16</v>
      </c>
      <c r="W393" s="40" cm="1">
        <f t="array" ref="W393">_xlfn.XLOOKUP(Fact_Table[[#This Row],[Commissioned_Year]],cost_table[[#All],[Year]],cost_table[[#All],[Average_Crude_Price_USD_per_Barrel]],"0")</f>
        <v>41.4</v>
      </c>
      <c r="X393" s="40">
        <f>Fact_Table[[#This Row],[Capacity_BPD]]*Fact_Table[[#This Row],[cost per barrel]]</f>
        <v>17361338.399999999</v>
      </c>
    </row>
    <row r="394" spans="1:24" x14ac:dyDescent="0.35">
      <c r="A394" t="s">
        <v>18</v>
      </c>
      <c r="B394" t="s">
        <v>40</v>
      </c>
      <c r="C394" t="s">
        <v>15</v>
      </c>
      <c r="D394" s="5">
        <v>127113</v>
      </c>
      <c r="E394" s="5">
        <v>1979</v>
      </c>
      <c r="F394" s="5">
        <v>1645</v>
      </c>
      <c r="G394" s="3" t="s">
        <v>21</v>
      </c>
      <c r="H394" s="4">
        <v>25.93</v>
      </c>
      <c r="I394" s="4">
        <v>6.6</v>
      </c>
      <c r="J394" s="5">
        <v>42821</v>
      </c>
      <c r="K394" s="5">
        <v>62301</v>
      </c>
      <c r="L394" s="5">
        <v>21989</v>
      </c>
      <c r="M394" s="3" t="s">
        <v>34</v>
      </c>
      <c r="N394" s="10">
        <v>12605</v>
      </c>
      <c r="O394" s="12">
        <f>(Fact_Table[[#This Row],[Petrol_Output_BPD]]+Fact_Table[[#This Row],[Diesel_Output_BPD]]+Fact_Table[[#This Row],[Gas_Output_BPD]])/Fact_Table[[#This Row],[No_of_Employees]]</f>
        <v>77.271124620060789</v>
      </c>
      <c r="P394" s="2" t="str">
        <f>IF(Fact_Table[[#This Row],[0/P Producyivity/Day]]&gt;=1000,"High",IF(Fact_Table[[#This Row],[0/P Producyivity/Day]]&gt;=500,"Medium","Low"))</f>
        <v>Low</v>
      </c>
      <c r="Q394" s="10">
        <f>Fact_Table[[#This Row],[Capacity_BPD]]/Fact_Table[[#This Row],[Average_Salary_AED]]</f>
        <v>10.084331614438716</v>
      </c>
      <c r="R394" s="15">
        <f>(Fact_Table[[#This Row],[Petrol_Output_BPD]]/Fact_Table[[#This Row],[Capacity_BPD]])</f>
        <v>0.33687349051631227</v>
      </c>
      <c r="S394" s="15">
        <f>Fact_Table[[#This Row],[Diesel_Output_BPD]]/Fact_Table[[#This Row],[Capacity_BPD]]</f>
        <v>0.4901229614594888</v>
      </c>
      <c r="T394" s="15">
        <f>Fact_Table[[#This Row],[Gas_Output_BPD]]/Fact_Table[[#This Row],[Capacity_BPD]]</f>
        <v>0.17298781399227459</v>
      </c>
      <c r="U394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94" s="8">
        <f ca="1">YEAR(TODAY())-Fact_Table[[#This Row],[Commissioned_Year]]</f>
        <v>46</v>
      </c>
      <c r="W394" s="40" cm="1">
        <f t="array" ref="W394">_xlfn.XLOOKUP(Fact_Table[[#This Row],[Commissioned_Year]],cost_table[[#All],[Year]],cost_table[[#All],[Average_Crude_Price_USD_per_Barrel]],"0")</f>
        <v>31.6</v>
      </c>
      <c r="X394" s="40">
        <f>Fact_Table[[#This Row],[Capacity_BPD]]*Fact_Table[[#This Row],[cost per barrel]]</f>
        <v>4016770.8000000003</v>
      </c>
    </row>
    <row r="395" spans="1:24" x14ac:dyDescent="0.35">
      <c r="A395" t="s">
        <v>22</v>
      </c>
      <c r="B395" t="s">
        <v>26</v>
      </c>
      <c r="C395" t="s">
        <v>39</v>
      </c>
      <c r="D395" s="5">
        <v>229838</v>
      </c>
      <c r="E395" s="5">
        <v>1984</v>
      </c>
      <c r="F395" s="5">
        <v>1364</v>
      </c>
      <c r="G395" s="3" t="s">
        <v>21</v>
      </c>
      <c r="H395" s="4">
        <v>23.59</v>
      </c>
      <c r="I395" s="4">
        <v>5.81</v>
      </c>
      <c r="J395" s="5">
        <v>79918</v>
      </c>
      <c r="K395" s="5">
        <v>111662</v>
      </c>
      <c r="L395" s="5">
        <v>38257</v>
      </c>
      <c r="M395" s="3" t="s">
        <v>23</v>
      </c>
      <c r="N395" s="10">
        <v>9506</v>
      </c>
      <c r="O395" s="12">
        <f>(Fact_Table[[#This Row],[Petrol_Output_BPD]]+Fact_Table[[#This Row],[Diesel_Output_BPD]]+Fact_Table[[#This Row],[Gas_Output_BPD]])/Fact_Table[[#This Row],[No_of_Employees]]</f>
        <v>168.50219941348973</v>
      </c>
      <c r="P395" s="2" t="str">
        <f>IF(Fact_Table[[#This Row],[0/P Producyivity/Day]]&gt;=1000,"High",IF(Fact_Table[[#This Row],[0/P Producyivity/Day]]&gt;=500,"Medium","Low"))</f>
        <v>Low</v>
      </c>
      <c r="Q395" s="10">
        <f>Fact_Table[[#This Row],[Capacity_BPD]]/Fact_Table[[#This Row],[Average_Salary_AED]]</f>
        <v>24.17820324005891</v>
      </c>
      <c r="R395" s="15">
        <f>(Fact_Table[[#This Row],[Petrol_Output_BPD]]/Fact_Table[[#This Row],[Capacity_BPD]])</f>
        <v>0.34771447715347331</v>
      </c>
      <c r="S395" s="15">
        <f>Fact_Table[[#This Row],[Diesel_Output_BPD]]/Fact_Table[[#This Row],[Capacity_BPD]]</f>
        <v>0.48582914922684672</v>
      </c>
      <c r="T395" s="15">
        <f>Fact_Table[[#This Row],[Gas_Output_BPD]]/Fact_Table[[#This Row],[Capacity_BPD]]</f>
        <v>0.16645202272905263</v>
      </c>
      <c r="U395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95" s="8">
        <f ca="1">YEAR(TODAY())-Fact_Table[[#This Row],[Commissioned_Year]]</f>
        <v>41</v>
      </c>
      <c r="W395" s="40" cm="1">
        <f t="array" ref="W395">_xlfn.XLOOKUP(Fact_Table[[#This Row],[Commissioned_Year]],cost_table[[#All],[Year]],cost_table[[#All],[Average_Crude_Price_USD_per_Barrel]],"0")</f>
        <v>28.5</v>
      </c>
      <c r="X395" s="40">
        <f>Fact_Table[[#This Row],[Capacity_BPD]]*Fact_Table[[#This Row],[cost per barrel]]</f>
        <v>6550383</v>
      </c>
    </row>
    <row r="396" spans="1:24" x14ac:dyDescent="0.35">
      <c r="A396" t="s">
        <v>30</v>
      </c>
      <c r="B396" t="s">
        <v>14</v>
      </c>
      <c r="C396" t="s">
        <v>48</v>
      </c>
      <c r="D396" s="5">
        <v>119775</v>
      </c>
      <c r="E396" s="5">
        <v>1980</v>
      </c>
      <c r="F396" s="5">
        <v>1549</v>
      </c>
      <c r="G396" s="3" t="s">
        <v>16</v>
      </c>
      <c r="H396" s="4">
        <v>7.74</v>
      </c>
      <c r="I396" s="4">
        <v>5.29</v>
      </c>
      <c r="J396" s="5">
        <v>48922</v>
      </c>
      <c r="K396" s="5">
        <v>55866</v>
      </c>
      <c r="L396" s="5">
        <v>14986</v>
      </c>
      <c r="M396" s="3" t="s">
        <v>29</v>
      </c>
      <c r="N396" s="10">
        <v>23268</v>
      </c>
      <c r="O396" s="12">
        <f>(Fact_Table[[#This Row],[Petrol_Output_BPD]]+Fact_Table[[#This Row],[Diesel_Output_BPD]]+Fact_Table[[#This Row],[Gas_Output_BPD]])/Fact_Table[[#This Row],[No_of_Employees]]</f>
        <v>77.323434473854093</v>
      </c>
      <c r="P396" s="2" t="str">
        <f>IF(Fact_Table[[#This Row],[0/P Producyivity/Day]]&gt;=1000,"High",IF(Fact_Table[[#This Row],[0/P Producyivity/Day]]&gt;=500,"Medium","Low"))</f>
        <v>Low</v>
      </c>
      <c r="Q396" s="10">
        <f>Fact_Table[[#This Row],[Capacity_BPD]]/Fact_Table[[#This Row],[Average_Salary_AED]]</f>
        <v>5.1476276431150074</v>
      </c>
      <c r="R396" s="15">
        <f>(Fact_Table[[#This Row],[Petrol_Output_BPD]]/Fact_Table[[#This Row],[Capacity_BPD]])</f>
        <v>0.40844917553746607</v>
      </c>
      <c r="S396" s="15">
        <f>Fact_Table[[#This Row],[Diesel_Output_BPD]]/Fact_Table[[#This Row],[Capacity_BPD]]</f>
        <v>0.46642454602379463</v>
      </c>
      <c r="T396" s="15">
        <f>Fact_Table[[#This Row],[Gas_Output_BPD]]/Fact_Table[[#This Row],[Capacity_BPD]]</f>
        <v>0.12511792945105407</v>
      </c>
      <c r="U39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96" s="8">
        <f ca="1">YEAR(TODAY())-Fact_Table[[#This Row],[Commissioned_Year]]</f>
        <v>45</v>
      </c>
      <c r="W396" s="40" cm="1">
        <f t="array" ref="W396">_xlfn.XLOOKUP(Fact_Table[[#This Row],[Commissioned_Year]],cost_table[[#All],[Year]],cost_table[[#All],[Average_Crude_Price_USD_per_Barrel]],"0")</f>
        <v>36.799999999999997</v>
      </c>
      <c r="X396" s="40">
        <f>Fact_Table[[#This Row],[Capacity_BPD]]*Fact_Table[[#This Row],[cost per barrel]]</f>
        <v>4407720</v>
      </c>
    </row>
    <row r="397" spans="1:24" x14ac:dyDescent="0.35">
      <c r="A397" t="s">
        <v>24</v>
      </c>
      <c r="B397" t="s">
        <v>19</v>
      </c>
      <c r="C397" t="s">
        <v>48</v>
      </c>
      <c r="D397" s="5">
        <v>667617</v>
      </c>
      <c r="E397" s="5">
        <v>1990</v>
      </c>
      <c r="F397" s="5">
        <v>1317</v>
      </c>
      <c r="G397" s="3" t="s">
        <v>28</v>
      </c>
      <c r="H397" s="4">
        <v>29.98</v>
      </c>
      <c r="I397" s="4">
        <v>8.07</v>
      </c>
      <c r="J397" s="5">
        <v>244185</v>
      </c>
      <c r="K397" s="5">
        <v>263135</v>
      </c>
      <c r="L397" s="5">
        <v>160295</v>
      </c>
      <c r="M397" s="3" t="s">
        <v>29</v>
      </c>
      <c r="N397" s="10">
        <v>12903</v>
      </c>
      <c r="O397" s="12">
        <f>(Fact_Table[[#This Row],[Petrol_Output_BPD]]+Fact_Table[[#This Row],[Diesel_Output_BPD]]+Fact_Table[[#This Row],[Gas_Output_BPD]])/Fact_Table[[#This Row],[No_of_Employees]]</f>
        <v>506.92103264996206</v>
      </c>
      <c r="P397" s="2" t="str">
        <f>IF(Fact_Table[[#This Row],[0/P Producyivity/Day]]&gt;=1000,"High",IF(Fact_Table[[#This Row],[0/P Producyivity/Day]]&gt;=500,"Medium","Low"))</f>
        <v>Medium</v>
      </c>
      <c r="Q397" s="10">
        <f>Fact_Table[[#This Row],[Capacity_BPD]]/Fact_Table[[#This Row],[Average_Salary_AED]]</f>
        <v>51.741222971402003</v>
      </c>
      <c r="R397" s="15">
        <f>(Fact_Table[[#This Row],[Petrol_Output_BPD]]/Fact_Table[[#This Row],[Capacity_BPD]])</f>
        <v>0.36575611465855423</v>
      </c>
      <c r="S397" s="15">
        <f>Fact_Table[[#This Row],[Diesel_Output_BPD]]/Fact_Table[[#This Row],[Capacity_BPD]]</f>
        <v>0.39414065249986147</v>
      </c>
      <c r="T397" s="15">
        <f>Fact_Table[[#This Row],[Gas_Output_BPD]]/Fact_Table[[#This Row],[Capacity_BPD]]</f>
        <v>0.24010023711199685</v>
      </c>
      <c r="U397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97" s="8">
        <f ca="1">YEAR(TODAY())-Fact_Table[[#This Row],[Commissioned_Year]]</f>
        <v>35</v>
      </c>
      <c r="W397" s="40" cm="1">
        <f t="array" ref="W397">_xlfn.XLOOKUP(Fact_Table[[#This Row],[Commissioned_Year]],cost_table[[#All],[Year]],cost_table[[#All],[Average_Crude_Price_USD_per_Barrel]],"0")</f>
        <v>22.3</v>
      </c>
      <c r="X397" s="40">
        <f>Fact_Table[[#This Row],[Capacity_BPD]]*Fact_Table[[#This Row],[cost per barrel]]</f>
        <v>14887859.1</v>
      </c>
    </row>
    <row r="398" spans="1:24" x14ac:dyDescent="0.35">
      <c r="A398" t="s">
        <v>30</v>
      </c>
      <c r="B398" t="s">
        <v>40</v>
      </c>
      <c r="C398" t="s">
        <v>20</v>
      </c>
      <c r="D398" s="5">
        <v>243004</v>
      </c>
      <c r="E398" s="5">
        <v>2001</v>
      </c>
      <c r="F398" s="5">
        <v>641</v>
      </c>
      <c r="G398" s="3" t="s">
        <v>21</v>
      </c>
      <c r="H398" s="4">
        <v>5.68</v>
      </c>
      <c r="I398" s="4">
        <v>6.24</v>
      </c>
      <c r="J398" s="5">
        <v>94662</v>
      </c>
      <c r="K398" s="5">
        <v>102821</v>
      </c>
      <c r="L398" s="5">
        <v>45519</v>
      </c>
      <c r="M398" s="3" t="s">
        <v>29</v>
      </c>
      <c r="N398" s="10">
        <v>13803</v>
      </c>
      <c r="O398" s="12">
        <f>(Fact_Table[[#This Row],[Petrol_Output_BPD]]+Fact_Table[[#This Row],[Diesel_Output_BPD]]+Fact_Table[[#This Row],[Gas_Output_BPD]])/Fact_Table[[#This Row],[No_of_Employees]]</f>
        <v>379.09828393135723</v>
      </c>
      <c r="P398" s="2" t="str">
        <f>IF(Fact_Table[[#This Row],[0/P Producyivity/Day]]&gt;=1000,"High",IF(Fact_Table[[#This Row],[0/P Producyivity/Day]]&gt;=500,"Medium","Low"))</f>
        <v>Low</v>
      </c>
      <c r="Q398" s="10">
        <f>Fact_Table[[#This Row],[Capacity_BPD]]/Fact_Table[[#This Row],[Average_Salary_AED]]</f>
        <v>17.605158298920525</v>
      </c>
      <c r="R398" s="15">
        <f>(Fact_Table[[#This Row],[Petrol_Output_BPD]]/Fact_Table[[#This Row],[Capacity_BPD]])</f>
        <v>0.38954914322397988</v>
      </c>
      <c r="S398" s="15">
        <f>Fact_Table[[#This Row],[Diesel_Output_BPD]]/Fact_Table[[#This Row],[Capacity_BPD]]</f>
        <v>0.42312472222679465</v>
      </c>
      <c r="T398" s="15">
        <f>Fact_Table[[#This Row],[Gas_Output_BPD]]/Fact_Table[[#This Row],[Capacity_BPD]]</f>
        <v>0.1873179042320291</v>
      </c>
      <c r="U39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398" s="8">
        <f ca="1">YEAR(TODAY())-Fact_Table[[#This Row],[Commissioned_Year]]</f>
        <v>24</v>
      </c>
      <c r="W398" s="40" cm="1">
        <f t="array" ref="W398">_xlfn.XLOOKUP(Fact_Table[[#This Row],[Commissioned_Year]],cost_table[[#All],[Year]],cost_table[[#All],[Average_Crude_Price_USD_per_Barrel]],"0")</f>
        <v>28.4</v>
      </c>
      <c r="X398" s="40">
        <f>Fact_Table[[#This Row],[Capacity_BPD]]*Fact_Table[[#This Row],[cost per barrel]]</f>
        <v>6901313.5999999996</v>
      </c>
    </row>
    <row r="399" spans="1:24" x14ac:dyDescent="0.35">
      <c r="A399" t="s">
        <v>35</v>
      </c>
      <c r="B399" t="s">
        <v>14</v>
      </c>
      <c r="C399" t="s">
        <v>15</v>
      </c>
      <c r="D399" s="5">
        <v>876026</v>
      </c>
      <c r="E399" s="5">
        <v>2007</v>
      </c>
      <c r="F399" s="5">
        <v>2301</v>
      </c>
      <c r="G399" s="3" t="s">
        <v>28</v>
      </c>
      <c r="H399" s="4">
        <v>34.409999999999997</v>
      </c>
      <c r="I399" s="4">
        <v>9.31</v>
      </c>
      <c r="J399" s="5">
        <v>254615</v>
      </c>
      <c r="K399" s="5">
        <v>475911</v>
      </c>
      <c r="L399" s="5">
        <v>145498</v>
      </c>
      <c r="M399" s="3" t="s">
        <v>23</v>
      </c>
      <c r="N399" s="10">
        <v>12053</v>
      </c>
      <c r="O399" s="12">
        <f>(Fact_Table[[#This Row],[Petrol_Output_BPD]]+Fact_Table[[#This Row],[Diesel_Output_BPD]]+Fact_Table[[#This Row],[Gas_Output_BPD]])/Fact_Table[[#This Row],[No_of_Employees]]</f>
        <v>380.71447196870923</v>
      </c>
      <c r="P399" s="2" t="str">
        <f>IF(Fact_Table[[#This Row],[0/P Producyivity/Day]]&gt;=1000,"High",IF(Fact_Table[[#This Row],[0/P Producyivity/Day]]&gt;=500,"Medium","Low"))</f>
        <v>Low</v>
      </c>
      <c r="Q399" s="10">
        <f>Fact_Table[[#This Row],[Capacity_BPD]]/Fact_Table[[#This Row],[Average_Salary_AED]]</f>
        <v>72.681158217871072</v>
      </c>
      <c r="R399" s="15">
        <f>(Fact_Table[[#This Row],[Petrol_Output_BPD]]/Fact_Table[[#This Row],[Capacity_BPD]])</f>
        <v>0.29064776616219151</v>
      </c>
      <c r="S399" s="15">
        <f>Fact_Table[[#This Row],[Diesel_Output_BPD]]/Fact_Table[[#This Row],[Capacity_BPD]]</f>
        <v>0.5432612730672377</v>
      </c>
      <c r="T399" s="15">
        <f>Fact_Table[[#This Row],[Gas_Output_BPD]]/Fact_Table[[#This Row],[Capacity_BPD]]</f>
        <v>0.16608867773330929</v>
      </c>
      <c r="U399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399" s="8">
        <f ca="1">YEAR(TODAY())-Fact_Table[[#This Row],[Commissioned_Year]]</f>
        <v>18</v>
      </c>
      <c r="W399" s="40" cm="1">
        <f t="array" ref="W399">_xlfn.XLOOKUP(Fact_Table[[#This Row],[Commissioned_Year]],cost_table[[#All],[Year]],cost_table[[#All],[Average_Crude_Price_USD_per_Barrel]],"0")</f>
        <v>24.4</v>
      </c>
      <c r="X399" s="40">
        <f>Fact_Table[[#This Row],[Capacity_BPD]]*Fact_Table[[#This Row],[cost per barrel]]</f>
        <v>21375034.399999999</v>
      </c>
    </row>
    <row r="400" spans="1:24" x14ac:dyDescent="0.35">
      <c r="A400" t="s">
        <v>30</v>
      </c>
      <c r="B400" t="s">
        <v>32</v>
      </c>
      <c r="C400" t="s">
        <v>33</v>
      </c>
      <c r="D400" s="5">
        <v>234532</v>
      </c>
      <c r="E400" s="5">
        <v>1984</v>
      </c>
      <c r="F400" s="5">
        <v>1457</v>
      </c>
      <c r="G400" s="3" t="s">
        <v>21</v>
      </c>
      <c r="H400" s="4">
        <v>2.58</v>
      </c>
      <c r="I400" s="4">
        <v>8.61</v>
      </c>
      <c r="J400" s="5">
        <v>72475</v>
      </c>
      <c r="K400" s="5">
        <v>111903</v>
      </c>
      <c r="L400" s="5">
        <v>50153</v>
      </c>
      <c r="M400" s="3" t="s">
        <v>38</v>
      </c>
      <c r="N400" s="10">
        <v>18472</v>
      </c>
      <c r="O400" s="12">
        <f>(Fact_Table[[#This Row],[Petrol_Output_BPD]]+Fact_Table[[#This Row],[Diesel_Output_BPD]]+Fact_Table[[#This Row],[Gas_Output_BPD]])/Fact_Table[[#This Row],[No_of_Employees]]</f>
        <v>160.9684282772821</v>
      </c>
      <c r="P400" s="2" t="str">
        <f>IF(Fact_Table[[#This Row],[0/P Producyivity/Day]]&gt;=1000,"High",IF(Fact_Table[[#This Row],[0/P Producyivity/Day]]&gt;=500,"Medium","Low"))</f>
        <v>Low</v>
      </c>
      <c r="Q400" s="10">
        <f>Fact_Table[[#This Row],[Capacity_BPD]]/Fact_Table[[#This Row],[Average_Salary_AED]]</f>
        <v>12.696621914248592</v>
      </c>
      <c r="R400" s="15">
        <f>(Fact_Table[[#This Row],[Petrol_Output_BPD]]/Fact_Table[[#This Row],[Capacity_BPD]])</f>
        <v>0.30901966469394371</v>
      </c>
      <c r="S400" s="15">
        <f>Fact_Table[[#This Row],[Diesel_Output_BPD]]/Fact_Table[[#This Row],[Capacity_BPD]]</f>
        <v>0.47713318438422048</v>
      </c>
      <c r="T400" s="15">
        <f>Fact_Table[[#This Row],[Gas_Output_BPD]]/Fact_Table[[#This Row],[Capacity_BPD]]</f>
        <v>0.21384288711135369</v>
      </c>
      <c r="U400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00" s="8">
        <f ca="1">YEAR(TODAY())-Fact_Table[[#This Row],[Commissioned_Year]]</f>
        <v>41</v>
      </c>
      <c r="W400" s="40" cm="1">
        <f t="array" ref="W400">_xlfn.XLOOKUP(Fact_Table[[#This Row],[Commissioned_Year]],cost_table[[#All],[Year]],cost_table[[#All],[Average_Crude_Price_USD_per_Barrel]],"0")</f>
        <v>28.5</v>
      </c>
      <c r="X400" s="40">
        <f>Fact_Table[[#This Row],[Capacity_BPD]]*Fact_Table[[#This Row],[cost per barrel]]</f>
        <v>6684162</v>
      </c>
    </row>
    <row r="401" spans="1:24" x14ac:dyDescent="0.35">
      <c r="A401" t="s">
        <v>30</v>
      </c>
      <c r="B401" t="s">
        <v>14</v>
      </c>
      <c r="C401" t="s">
        <v>49</v>
      </c>
      <c r="D401" s="5">
        <v>129005</v>
      </c>
      <c r="E401" s="5">
        <v>2023</v>
      </c>
      <c r="F401" s="5">
        <v>1784</v>
      </c>
      <c r="G401" s="3" t="s">
        <v>21</v>
      </c>
      <c r="H401" s="4">
        <v>19.73</v>
      </c>
      <c r="I401" s="4">
        <v>6.02</v>
      </c>
      <c r="J401" s="5">
        <v>39097</v>
      </c>
      <c r="K401" s="5">
        <v>66065</v>
      </c>
      <c r="L401" s="5">
        <v>23842</v>
      </c>
      <c r="M401" s="3" t="s">
        <v>38</v>
      </c>
      <c r="N401" s="10">
        <v>22963</v>
      </c>
      <c r="O401" s="12">
        <f>(Fact_Table[[#This Row],[Petrol_Output_BPD]]+Fact_Table[[#This Row],[Diesel_Output_BPD]]+Fact_Table[[#This Row],[Gas_Output_BPD]])/Fact_Table[[#This Row],[No_of_Employees]]</f>
        <v>72.311659192825118</v>
      </c>
      <c r="P401" s="2" t="str">
        <f>IF(Fact_Table[[#This Row],[0/P Producyivity/Day]]&gt;=1000,"High",IF(Fact_Table[[#This Row],[0/P Producyivity/Day]]&gt;=500,"Medium","Low"))</f>
        <v>Low</v>
      </c>
      <c r="Q401" s="10">
        <f>Fact_Table[[#This Row],[Capacity_BPD]]/Fact_Table[[#This Row],[Average_Salary_AED]]</f>
        <v>5.6179506162086836</v>
      </c>
      <c r="R401" s="15">
        <f>(Fact_Table[[#This Row],[Petrol_Output_BPD]]/Fact_Table[[#This Row],[Capacity_BPD]])</f>
        <v>0.30306577264447115</v>
      </c>
      <c r="S401" s="15">
        <f>Fact_Table[[#This Row],[Diesel_Output_BPD]]/Fact_Table[[#This Row],[Capacity_BPD]]</f>
        <v>0.51211193364598273</v>
      </c>
      <c r="T401" s="15">
        <f>Fact_Table[[#This Row],[Gas_Output_BPD]]/Fact_Table[[#This Row],[Capacity_BPD]]</f>
        <v>0.1848145420720127</v>
      </c>
      <c r="U40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01" s="8">
        <f ca="1">YEAR(TODAY())-Fact_Table[[#This Row],[Commissioned_Year]]</f>
        <v>2</v>
      </c>
      <c r="W401" s="40" cm="1">
        <f t="array" ref="W401">_xlfn.XLOOKUP(Fact_Table[[#This Row],[Commissioned_Year]],cost_table[[#All],[Year]],cost_table[[#All],[Average_Crude_Price_USD_per_Barrel]],"0")</f>
        <v>64.3</v>
      </c>
      <c r="X401" s="40">
        <f>Fact_Table[[#This Row],[Capacity_BPD]]*Fact_Table[[#This Row],[cost per barrel]]</f>
        <v>8295021.5</v>
      </c>
    </row>
    <row r="402" spans="1:24" x14ac:dyDescent="0.35">
      <c r="A402" t="s">
        <v>30</v>
      </c>
      <c r="B402" t="s">
        <v>26</v>
      </c>
      <c r="C402" t="s">
        <v>48</v>
      </c>
      <c r="D402" s="5">
        <v>506592</v>
      </c>
      <c r="E402" s="5">
        <v>2015</v>
      </c>
      <c r="F402" s="5">
        <v>716</v>
      </c>
      <c r="G402" s="3" t="s">
        <v>16</v>
      </c>
      <c r="H402" s="4">
        <v>8.9</v>
      </c>
      <c r="I402" s="4">
        <v>6.09</v>
      </c>
      <c r="J402" s="5">
        <v>181042</v>
      </c>
      <c r="K402" s="5">
        <v>229301</v>
      </c>
      <c r="L402" s="5">
        <v>96248</v>
      </c>
      <c r="M402" s="3" t="s">
        <v>29</v>
      </c>
      <c r="N402" s="10">
        <v>17465</v>
      </c>
      <c r="O402" s="12">
        <f>(Fact_Table[[#This Row],[Petrol_Output_BPD]]+Fact_Table[[#This Row],[Diesel_Output_BPD]]+Fact_Table[[#This Row],[Gas_Output_BPD]])/Fact_Table[[#This Row],[No_of_Employees]]</f>
        <v>707.5293296089385</v>
      </c>
      <c r="P402" s="2" t="str">
        <f>IF(Fact_Table[[#This Row],[0/P Producyivity/Day]]&gt;=1000,"High",IF(Fact_Table[[#This Row],[0/P Producyivity/Day]]&gt;=500,"Medium","Low"))</f>
        <v>Medium</v>
      </c>
      <c r="Q402" s="10">
        <f>Fact_Table[[#This Row],[Capacity_BPD]]/Fact_Table[[#This Row],[Average_Salary_AED]]</f>
        <v>29.006126538791868</v>
      </c>
      <c r="R402" s="15">
        <f>(Fact_Table[[#This Row],[Petrol_Output_BPD]]/Fact_Table[[#This Row],[Capacity_BPD]])</f>
        <v>0.35737240224875244</v>
      </c>
      <c r="S402" s="15">
        <f>Fact_Table[[#This Row],[Diesel_Output_BPD]]/Fact_Table[[#This Row],[Capacity_BPD]]</f>
        <v>0.45263446718463773</v>
      </c>
      <c r="T402" s="15">
        <f>Fact_Table[[#This Row],[Gas_Output_BPD]]/Fact_Table[[#This Row],[Capacity_BPD]]</f>
        <v>0.18999115659149771</v>
      </c>
      <c r="U40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02" s="8">
        <f ca="1">YEAR(TODAY())-Fact_Table[[#This Row],[Commissioned_Year]]</f>
        <v>10</v>
      </c>
      <c r="W402" s="40" cm="1">
        <f t="array" ref="W402">_xlfn.XLOOKUP(Fact_Table[[#This Row],[Commissioned_Year]],cost_table[[#All],[Year]],cost_table[[#All],[Average_Crude_Price_USD_per_Barrel]],"0")</f>
        <v>43.7</v>
      </c>
      <c r="X402" s="40">
        <f>Fact_Table[[#This Row],[Capacity_BPD]]*Fact_Table[[#This Row],[cost per barrel]]</f>
        <v>22138070.400000002</v>
      </c>
    </row>
    <row r="403" spans="1:24" x14ac:dyDescent="0.35">
      <c r="A403" t="s">
        <v>22</v>
      </c>
      <c r="B403" t="s">
        <v>25</v>
      </c>
      <c r="C403" t="s">
        <v>47</v>
      </c>
      <c r="D403" s="5">
        <v>862668</v>
      </c>
      <c r="E403" s="5">
        <v>2016</v>
      </c>
      <c r="F403" s="5">
        <v>1037</v>
      </c>
      <c r="G403" s="3" t="s">
        <v>28</v>
      </c>
      <c r="H403" s="4">
        <v>2.89</v>
      </c>
      <c r="I403" s="4">
        <v>5.22</v>
      </c>
      <c r="J403" s="5">
        <v>298053</v>
      </c>
      <c r="K403" s="5">
        <v>395098</v>
      </c>
      <c r="L403" s="5">
        <v>169516</v>
      </c>
      <c r="M403" s="3" t="s">
        <v>38</v>
      </c>
      <c r="N403" s="10">
        <v>18683</v>
      </c>
      <c r="O403" s="12">
        <f>(Fact_Table[[#This Row],[Petrol_Output_BPD]]+Fact_Table[[#This Row],[Diesel_Output_BPD]]+Fact_Table[[#This Row],[Gas_Output_BPD]])/Fact_Table[[#This Row],[No_of_Employees]]</f>
        <v>831.88717454194796</v>
      </c>
      <c r="P403" s="2" t="str">
        <f>IF(Fact_Table[[#This Row],[0/P Producyivity/Day]]&gt;=1000,"High",IF(Fact_Table[[#This Row],[0/P Producyivity/Day]]&gt;=500,"Medium","Low"))</f>
        <v>Medium</v>
      </c>
      <c r="Q403" s="10">
        <f>Fact_Table[[#This Row],[Capacity_BPD]]/Fact_Table[[#This Row],[Average_Salary_AED]]</f>
        <v>46.173954932291387</v>
      </c>
      <c r="R403" s="15">
        <f>(Fact_Table[[#This Row],[Petrol_Output_BPD]]/Fact_Table[[#This Row],[Capacity_BPD]])</f>
        <v>0.34550139798856572</v>
      </c>
      <c r="S403" s="15">
        <f>Fact_Table[[#This Row],[Diesel_Output_BPD]]/Fact_Table[[#This Row],[Capacity_BPD]]</f>
        <v>0.45799542813689625</v>
      </c>
      <c r="T403" s="15">
        <f>Fact_Table[[#This Row],[Gas_Output_BPD]]/Fact_Table[[#This Row],[Capacity_BPD]]</f>
        <v>0.19650201468003914</v>
      </c>
      <c r="U403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03" s="8">
        <f ca="1">YEAR(TODAY())-Fact_Table[[#This Row],[Commissioned_Year]]</f>
        <v>9</v>
      </c>
      <c r="W403" s="40" cm="1">
        <f t="array" ref="W403">_xlfn.XLOOKUP(Fact_Table[[#This Row],[Commissioned_Year]],cost_table[[#All],[Year]],cost_table[[#All],[Average_Crude_Price_USD_per_Barrel]],"0")</f>
        <v>54.2</v>
      </c>
      <c r="X403" s="40">
        <f>Fact_Table[[#This Row],[Capacity_BPD]]*Fact_Table[[#This Row],[cost per barrel]]</f>
        <v>46756605.600000001</v>
      </c>
    </row>
    <row r="404" spans="1:24" x14ac:dyDescent="0.35">
      <c r="A404" t="s">
        <v>18</v>
      </c>
      <c r="B404" t="s">
        <v>41</v>
      </c>
      <c r="C404" t="s">
        <v>33</v>
      </c>
      <c r="D404" s="5">
        <v>344315</v>
      </c>
      <c r="E404" s="5">
        <v>2004</v>
      </c>
      <c r="F404" s="5">
        <v>1084</v>
      </c>
      <c r="G404" s="3" t="s">
        <v>16</v>
      </c>
      <c r="H404" s="4">
        <v>7.32</v>
      </c>
      <c r="I404" s="4">
        <v>9.85</v>
      </c>
      <c r="J404" s="5">
        <v>132249</v>
      </c>
      <c r="K404" s="5">
        <v>156604</v>
      </c>
      <c r="L404" s="5">
        <v>55460</v>
      </c>
      <c r="M404" s="3" t="s">
        <v>29</v>
      </c>
      <c r="N404" s="10">
        <v>11966</v>
      </c>
      <c r="O404" s="12">
        <f>(Fact_Table[[#This Row],[Petrol_Output_BPD]]+Fact_Table[[#This Row],[Diesel_Output_BPD]]+Fact_Table[[#This Row],[Gas_Output_BPD]])/Fact_Table[[#This Row],[No_of_Employees]]</f>
        <v>317.63191881918817</v>
      </c>
      <c r="P404" s="2" t="str">
        <f>IF(Fact_Table[[#This Row],[0/P Producyivity/Day]]&gt;=1000,"High",IF(Fact_Table[[#This Row],[0/P Producyivity/Day]]&gt;=500,"Medium","Low"))</f>
        <v>Low</v>
      </c>
      <c r="Q404" s="10">
        <f>Fact_Table[[#This Row],[Capacity_BPD]]/Fact_Table[[#This Row],[Average_Salary_AED]]</f>
        <v>28.774444258733077</v>
      </c>
      <c r="R404" s="15">
        <f>(Fact_Table[[#This Row],[Petrol_Output_BPD]]/Fact_Table[[#This Row],[Capacity_BPD]])</f>
        <v>0.38409305432525448</v>
      </c>
      <c r="S404" s="15">
        <f>Fact_Table[[#This Row],[Diesel_Output_BPD]]/Fact_Table[[#This Row],[Capacity_BPD]]</f>
        <v>0.45482770137809853</v>
      </c>
      <c r="T404" s="15">
        <f>Fact_Table[[#This Row],[Gas_Output_BPD]]/Fact_Table[[#This Row],[Capacity_BPD]]</f>
        <v>0.16107343566211174</v>
      </c>
      <c r="U404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04" s="8">
        <f ca="1">YEAR(TODAY())-Fact_Table[[#This Row],[Commissioned_Year]]</f>
        <v>21</v>
      </c>
      <c r="W404" s="40" cm="1">
        <f t="array" ref="W404">_xlfn.XLOOKUP(Fact_Table[[#This Row],[Commissioned_Year]],cost_table[[#All],[Year]],cost_table[[#All],[Average_Crude_Price_USD_per_Barrel]],"0")</f>
        <v>18.600000000000001</v>
      </c>
      <c r="X404" s="40">
        <f>Fact_Table[[#This Row],[Capacity_BPD]]*Fact_Table[[#This Row],[cost per barrel]]</f>
        <v>6404259.0000000009</v>
      </c>
    </row>
    <row r="405" spans="1:24" x14ac:dyDescent="0.35">
      <c r="A405" t="s">
        <v>22</v>
      </c>
      <c r="B405" t="s">
        <v>26</v>
      </c>
      <c r="C405" t="s">
        <v>33</v>
      </c>
      <c r="D405" s="5">
        <v>881021</v>
      </c>
      <c r="E405" s="5">
        <v>1982</v>
      </c>
      <c r="F405" s="5">
        <v>1701</v>
      </c>
      <c r="G405" s="3" t="s">
        <v>16</v>
      </c>
      <c r="H405" s="4">
        <v>15.98</v>
      </c>
      <c r="I405" s="4">
        <v>8.85</v>
      </c>
      <c r="J405" s="5">
        <v>307408</v>
      </c>
      <c r="K405" s="5">
        <v>407282</v>
      </c>
      <c r="L405" s="5">
        <v>166330</v>
      </c>
      <c r="M405" s="3" t="s">
        <v>17</v>
      </c>
      <c r="N405" s="10">
        <v>12785</v>
      </c>
      <c r="O405" s="12">
        <f>(Fact_Table[[#This Row],[Petrol_Output_BPD]]+Fact_Table[[#This Row],[Diesel_Output_BPD]]+Fact_Table[[#This Row],[Gas_Output_BPD]])/Fact_Table[[#This Row],[No_of_Employees]]</f>
        <v>517.94238683127571</v>
      </c>
      <c r="P405" s="2" t="str">
        <f>IF(Fact_Table[[#This Row],[0/P Producyivity/Day]]&gt;=1000,"High",IF(Fact_Table[[#This Row],[0/P Producyivity/Day]]&gt;=500,"Medium","Low"))</f>
        <v>Medium</v>
      </c>
      <c r="Q405" s="10">
        <f>Fact_Table[[#This Row],[Capacity_BPD]]/Fact_Table[[#This Row],[Average_Salary_AED]]</f>
        <v>68.910520140789984</v>
      </c>
      <c r="R405" s="15">
        <f>(Fact_Table[[#This Row],[Petrol_Output_BPD]]/Fact_Table[[#This Row],[Capacity_BPD]])</f>
        <v>0.34892244339238226</v>
      </c>
      <c r="S405" s="15">
        <f>Fact_Table[[#This Row],[Diesel_Output_BPD]]/Fact_Table[[#This Row],[Capacity_BPD]]</f>
        <v>0.46228409992497344</v>
      </c>
      <c r="T405" s="15">
        <f>Fact_Table[[#This Row],[Gas_Output_BPD]]/Fact_Table[[#This Row],[Capacity_BPD]]</f>
        <v>0.18879232163592014</v>
      </c>
      <c r="U405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05" s="8">
        <f ca="1">YEAR(TODAY())-Fact_Table[[#This Row],[Commissioned_Year]]</f>
        <v>43</v>
      </c>
      <c r="W405" s="40" cm="1">
        <f t="array" ref="W405">_xlfn.XLOOKUP(Fact_Table[[#This Row],[Commissioned_Year]],cost_table[[#All],[Year]],cost_table[[#All],[Average_Crude_Price_USD_per_Barrel]],"0")</f>
        <v>32.799999999999997</v>
      </c>
      <c r="X405" s="40">
        <f>Fact_Table[[#This Row],[Capacity_BPD]]*Fact_Table[[#This Row],[cost per barrel]]</f>
        <v>28897488.799999997</v>
      </c>
    </row>
    <row r="406" spans="1:24" x14ac:dyDescent="0.35">
      <c r="A406" t="s">
        <v>37</v>
      </c>
      <c r="B406" t="s">
        <v>19</v>
      </c>
      <c r="C406" t="s">
        <v>46</v>
      </c>
      <c r="D406" s="5">
        <v>810489</v>
      </c>
      <c r="E406" s="5">
        <v>2015</v>
      </c>
      <c r="F406" s="5">
        <v>2009</v>
      </c>
      <c r="G406" s="3" t="s">
        <v>28</v>
      </c>
      <c r="H406" s="4">
        <v>20.059999999999999</v>
      </c>
      <c r="I406" s="4">
        <v>6.67</v>
      </c>
      <c r="J406" s="5">
        <v>324962</v>
      </c>
      <c r="K406" s="5">
        <v>359368</v>
      </c>
      <c r="L406" s="5">
        <v>126158</v>
      </c>
      <c r="M406" s="3" t="s">
        <v>23</v>
      </c>
      <c r="N406" s="10">
        <v>15248</v>
      </c>
      <c r="O406" s="12">
        <f>(Fact_Table[[#This Row],[Petrol_Output_BPD]]+Fact_Table[[#This Row],[Diesel_Output_BPD]]+Fact_Table[[#This Row],[Gas_Output_BPD]])/Fact_Table[[#This Row],[No_of_Employees]]</f>
        <v>403.42857142857144</v>
      </c>
      <c r="P406" s="2" t="str">
        <f>IF(Fact_Table[[#This Row],[0/P Producyivity/Day]]&gt;=1000,"High",IF(Fact_Table[[#This Row],[0/P Producyivity/Day]]&gt;=500,"Medium","Low"))</f>
        <v>Low</v>
      </c>
      <c r="Q406" s="10">
        <f>Fact_Table[[#This Row],[Capacity_BPD]]/Fact_Table[[#This Row],[Average_Salary_AED]]</f>
        <v>53.153790661070303</v>
      </c>
      <c r="R406" s="15">
        <f>(Fact_Table[[#This Row],[Petrol_Output_BPD]]/Fact_Table[[#This Row],[Capacity_BPD]])</f>
        <v>0.40094560197609097</v>
      </c>
      <c r="S406" s="15">
        <f>Fact_Table[[#This Row],[Diesel_Output_BPD]]/Fact_Table[[#This Row],[Capacity_BPD]]</f>
        <v>0.44339651741109382</v>
      </c>
      <c r="T406" s="15">
        <f>Fact_Table[[#This Row],[Gas_Output_BPD]]/Fact_Table[[#This Row],[Capacity_BPD]]</f>
        <v>0.15565664678977753</v>
      </c>
      <c r="U40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06" s="8">
        <f ca="1">YEAR(TODAY())-Fact_Table[[#This Row],[Commissioned_Year]]</f>
        <v>10</v>
      </c>
      <c r="W406" s="40" cm="1">
        <f t="array" ref="W406">_xlfn.XLOOKUP(Fact_Table[[#This Row],[Commissioned_Year]],cost_table[[#All],[Year]],cost_table[[#All],[Average_Crude_Price_USD_per_Barrel]],"0")</f>
        <v>43.7</v>
      </c>
      <c r="X406" s="40">
        <f>Fact_Table[[#This Row],[Capacity_BPD]]*Fact_Table[[#This Row],[cost per barrel]]</f>
        <v>35418369.300000004</v>
      </c>
    </row>
    <row r="407" spans="1:24" x14ac:dyDescent="0.35">
      <c r="A407" t="s">
        <v>22</v>
      </c>
      <c r="B407" t="s">
        <v>40</v>
      </c>
      <c r="C407" t="s">
        <v>39</v>
      </c>
      <c r="D407" s="5">
        <v>698130</v>
      </c>
      <c r="E407" s="5">
        <v>1980</v>
      </c>
      <c r="F407" s="5">
        <v>790</v>
      </c>
      <c r="G407" s="3" t="s">
        <v>28</v>
      </c>
      <c r="H407" s="4">
        <v>8.56</v>
      </c>
      <c r="I407" s="4">
        <v>9.35</v>
      </c>
      <c r="J407" s="5">
        <v>298302</v>
      </c>
      <c r="K407" s="5">
        <v>307024</v>
      </c>
      <c r="L407" s="5">
        <v>92803</v>
      </c>
      <c r="M407" s="3" t="s">
        <v>34</v>
      </c>
      <c r="N407" s="10">
        <v>22148</v>
      </c>
      <c r="O407" s="12">
        <f>(Fact_Table[[#This Row],[Petrol_Output_BPD]]+Fact_Table[[#This Row],[Diesel_Output_BPD]]+Fact_Table[[#This Row],[Gas_Output_BPD]])/Fact_Table[[#This Row],[No_of_Employees]]</f>
        <v>883.70759493670892</v>
      </c>
      <c r="P407" s="2" t="str">
        <f>IF(Fact_Table[[#This Row],[0/P Producyivity/Day]]&gt;=1000,"High",IF(Fact_Table[[#This Row],[0/P Producyivity/Day]]&gt;=500,"Medium","Low"))</f>
        <v>Medium</v>
      </c>
      <c r="Q407" s="10">
        <f>Fact_Table[[#This Row],[Capacity_BPD]]/Fact_Table[[#This Row],[Average_Salary_AED]]</f>
        <v>31.521130576124254</v>
      </c>
      <c r="R407" s="15">
        <f>(Fact_Table[[#This Row],[Petrol_Output_BPD]]/Fact_Table[[#This Row],[Capacity_BPD]])</f>
        <v>0.42728718147049977</v>
      </c>
      <c r="S407" s="15">
        <f>Fact_Table[[#This Row],[Diesel_Output_BPD]]/Fact_Table[[#This Row],[Capacity_BPD]]</f>
        <v>0.43978055662985405</v>
      </c>
      <c r="T407" s="15">
        <f>Fact_Table[[#This Row],[Gas_Output_BPD]]/Fact_Table[[#This Row],[Capacity_BPD]]</f>
        <v>0.13293082950166873</v>
      </c>
      <c r="U407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07" s="8">
        <f ca="1">YEAR(TODAY())-Fact_Table[[#This Row],[Commissioned_Year]]</f>
        <v>45</v>
      </c>
      <c r="W407" s="40" cm="1">
        <f t="array" ref="W407">_xlfn.XLOOKUP(Fact_Table[[#This Row],[Commissioned_Year]],cost_table[[#All],[Year]],cost_table[[#All],[Average_Crude_Price_USD_per_Barrel]],"0")</f>
        <v>36.799999999999997</v>
      </c>
      <c r="X407" s="40">
        <f>Fact_Table[[#This Row],[Capacity_BPD]]*Fact_Table[[#This Row],[cost per barrel]]</f>
        <v>25691183.999999996</v>
      </c>
    </row>
    <row r="408" spans="1:24" x14ac:dyDescent="0.35">
      <c r="A408" t="s">
        <v>24</v>
      </c>
      <c r="B408" t="s">
        <v>40</v>
      </c>
      <c r="C408" t="s">
        <v>49</v>
      </c>
      <c r="D408" s="5">
        <v>499579</v>
      </c>
      <c r="E408" s="5">
        <v>2017</v>
      </c>
      <c r="F408" s="5">
        <v>681</v>
      </c>
      <c r="G408" s="3" t="s">
        <v>28</v>
      </c>
      <c r="H408" s="4">
        <v>6.82</v>
      </c>
      <c r="I408" s="4">
        <v>9.35</v>
      </c>
      <c r="J408" s="5">
        <v>143785</v>
      </c>
      <c r="K408" s="5">
        <v>254026</v>
      </c>
      <c r="L408" s="5">
        <v>101767</v>
      </c>
      <c r="M408" s="3" t="s">
        <v>34</v>
      </c>
      <c r="N408" s="10">
        <v>12739</v>
      </c>
      <c r="O408" s="12">
        <f>(Fact_Table[[#This Row],[Petrol_Output_BPD]]+Fact_Table[[#This Row],[Diesel_Output_BPD]]+Fact_Table[[#This Row],[Gas_Output_BPD]])/Fact_Table[[#This Row],[No_of_Employees]]</f>
        <v>733.59471365638763</v>
      </c>
      <c r="P408" s="2" t="str">
        <f>IF(Fact_Table[[#This Row],[0/P Producyivity/Day]]&gt;=1000,"High",IF(Fact_Table[[#This Row],[0/P Producyivity/Day]]&gt;=500,"Medium","Low"))</f>
        <v>Medium</v>
      </c>
      <c r="Q408" s="10">
        <f>Fact_Table[[#This Row],[Capacity_BPD]]/Fact_Table[[#This Row],[Average_Salary_AED]]</f>
        <v>39.216500510244131</v>
      </c>
      <c r="R408" s="15">
        <f>(Fact_Table[[#This Row],[Petrol_Output_BPD]]/Fact_Table[[#This Row],[Capacity_BPD]])</f>
        <v>0.28781233798858641</v>
      </c>
      <c r="S408" s="15">
        <f>Fact_Table[[#This Row],[Diesel_Output_BPD]]/Fact_Table[[#This Row],[Capacity_BPD]]</f>
        <v>0.50848014027811417</v>
      </c>
      <c r="T408" s="15">
        <f>Fact_Table[[#This Row],[Gas_Output_BPD]]/Fact_Table[[#This Row],[Capacity_BPD]]</f>
        <v>0.20370552004788031</v>
      </c>
      <c r="U408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08" s="8">
        <f ca="1">YEAR(TODAY())-Fact_Table[[#This Row],[Commissioned_Year]]</f>
        <v>8</v>
      </c>
      <c r="W408" s="40" cm="1">
        <f t="array" ref="W408">_xlfn.XLOOKUP(Fact_Table[[#This Row],[Commissioned_Year]],cost_table[[#All],[Year]],cost_table[[#All],[Average_Crude_Price_USD_per_Barrel]],"0")</f>
        <v>71.3</v>
      </c>
      <c r="X408" s="40">
        <f>Fact_Table[[#This Row],[Capacity_BPD]]*Fact_Table[[#This Row],[cost per barrel]]</f>
        <v>35619982.699999996</v>
      </c>
    </row>
    <row r="409" spans="1:24" x14ac:dyDescent="0.35">
      <c r="A409" t="s">
        <v>18</v>
      </c>
      <c r="B409" t="s">
        <v>14</v>
      </c>
      <c r="C409" t="s">
        <v>39</v>
      </c>
      <c r="D409" s="5">
        <v>750580</v>
      </c>
      <c r="E409" s="5">
        <v>2012</v>
      </c>
      <c r="F409" s="5">
        <v>1344</v>
      </c>
      <c r="G409" s="3" t="s">
        <v>28</v>
      </c>
      <c r="H409" s="4">
        <v>14.92</v>
      </c>
      <c r="I409" s="4">
        <v>9.8699999999999992</v>
      </c>
      <c r="J409" s="5">
        <v>244987</v>
      </c>
      <c r="K409" s="5">
        <v>360142</v>
      </c>
      <c r="L409" s="5">
        <v>145450</v>
      </c>
      <c r="M409" s="3" t="s">
        <v>38</v>
      </c>
      <c r="N409" s="10">
        <v>17119</v>
      </c>
      <c r="O409" s="12">
        <f>(Fact_Table[[#This Row],[Petrol_Output_BPD]]+Fact_Table[[#This Row],[Diesel_Output_BPD]]+Fact_Table[[#This Row],[Gas_Output_BPD]])/Fact_Table[[#This Row],[No_of_Employees]]</f>
        <v>558.46651785714289</v>
      </c>
      <c r="P409" s="2" t="str">
        <f>IF(Fact_Table[[#This Row],[0/P Producyivity/Day]]&gt;=1000,"High",IF(Fact_Table[[#This Row],[0/P Producyivity/Day]]&gt;=500,"Medium","Low"))</f>
        <v>Medium</v>
      </c>
      <c r="Q409" s="10">
        <f>Fact_Table[[#This Row],[Capacity_BPD]]/Fact_Table[[#This Row],[Average_Salary_AED]]</f>
        <v>43.844850750627955</v>
      </c>
      <c r="R409" s="15">
        <f>(Fact_Table[[#This Row],[Petrol_Output_BPD]]/Fact_Table[[#This Row],[Capacity_BPD]])</f>
        <v>0.32639691971542006</v>
      </c>
      <c r="S409" s="15">
        <f>Fact_Table[[#This Row],[Diesel_Output_BPD]]/Fact_Table[[#This Row],[Capacity_BPD]]</f>
        <v>0.47981827386820858</v>
      </c>
      <c r="T409" s="15">
        <f>Fact_Table[[#This Row],[Gas_Output_BPD]]/Fact_Table[[#This Row],[Capacity_BPD]]</f>
        <v>0.19378347411335234</v>
      </c>
      <c r="U409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09" s="8">
        <f ca="1">YEAR(TODAY())-Fact_Table[[#This Row],[Commissioned_Year]]</f>
        <v>13</v>
      </c>
      <c r="W409" s="40" cm="1">
        <f t="array" ref="W409">_xlfn.XLOOKUP(Fact_Table[[#This Row],[Commissioned_Year]],cost_table[[#All],[Year]],cost_table[[#All],[Average_Crude_Price_USD_per_Barrel]],"0")</f>
        <v>72.400000000000006</v>
      </c>
      <c r="X409" s="40">
        <f>Fact_Table[[#This Row],[Capacity_BPD]]*Fact_Table[[#This Row],[cost per barrel]]</f>
        <v>54341992.000000007</v>
      </c>
    </row>
    <row r="410" spans="1:24" x14ac:dyDescent="0.35">
      <c r="A410" t="s">
        <v>37</v>
      </c>
      <c r="B410" t="s">
        <v>14</v>
      </c>
      <c r="C410" t="s">
        <v>48</v>
      </c>
      <c r="D410" s="5">
        <v>856286</v>
      </c>
      <c r="E410" s="5">
        <v>2006</v>
      </c>
      <c r="F410" s="5">
        <v>1256</v>
      </c>
      <c r="G410" s="3" t="s">
        <v>21</v>
      </c>
      <c r="H410" s="4">
        <v>33.44</v>
      </c>
      <c r="I410" s="4">
        <v>5.2</v>
      </c>
      <c r="J410" s="5">
        <v>341537</v>
      </c>
      <c r="K410" s="5">
        <v>315473</v>
      </c>
      <c r="L410" s="5">
        <v>199275</v>
      </c>
      <c r="M410" s="3" t="s">
        <v>29</v>
      </c>
      <c r="N410" s="10">
        <v>20788</v>
      </c>
      <c r="O410" s="12">
        <f>(Fact_Table[[#This Row],[Petrol_Output_BPD]]+Fact_Table[[#This Row],[Diesel_Output_BPD]]+Fact_Table[[#This Row],[Gas_Output_BPD]])/Fact_Table[[#This Row],[No_of_Employees]]</f>
        <v>681.7555732484077</v>
      </c>
      <c r="P410" s="2" t="str">
        <f>IF(Fact_Table[[#This Row],[0/P Producyivity/Day]]&gt;=1000,"High",IF(Fact_Table[[#This Row],[0/P Producyivity/Day]]&gt;=500,"Medium","Low"))</f>
        <v>Medium</v>
      </c>
      <c r="Q410" s="10">
        <f>Fact_Table[[#This Row],[Capacity_BPD]]/Fact_Table[[#This Row],[Average_Salary_AED]]</f>
        <v>41.191360400230906</v>
      </c>
      <c r="R410" s="15">
        <f>(Fact_Table[[#This Row],[Petrol_Output_BPD]]/Fact_Table[[#This Row],[Capacity_BPD]])</f>
        <v>0.39885855893941979</v>
      </c>
      <c r="S410" s="15">
        <f>Fact_Table[[#This Row],[Diesel_Output_BPD]]/Fact_Table[[#This Row],[Capacity_BPD]]</f>
        <v>0.36842013065728041</v>
      </c>
      <c r="T410" s="15">
        <f>Fact_Table[[#This Row],[Gas_Output_BPD]]/Fact_Table[[#This Row],[Capacity_BPD]]</f>
        <v>0.23272014256918833</v>
      </c>
      <c r="U410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10" s="8">
        <f ca="1">YEAR(TODAY())-Fact_Table[[#This Row],[Commissioned_Year]]</f>
        <v>19</v>
      </c>
      <c r="W410" s="40" cm="1">
        <f t="array" ref="W410">_xlfn.XLOOKUP(Fact_Table[[#This Row],[Commissioned_Year]],cost_table[[#All],[Year]],cost_table[[#All],[Average_Crude_Price_USD_per_Barrel]],"0")</f>
        <v>28.8</v>
      </c>
      <c r="X410" s="40">
        <f>Fact_Table[[#This Row],[Capacity_BPD]]*Fact_Table[[#This Row],[cost per barrel]]</f>
        <v>24661036.800000001</v>
      </c>
    </row>
    <row r="411" spans="1:24" x14ac:dyDescent="0.35">
      <c r="A411" t="s">
        <v>27</v>
      </c>
      <c r="B411" t="s">
        <v>26</v>
      </c>
      <c r="C411" t="s">
        <v>33</v>
      </c>
      <c r="D411" s="5">
        <v>308483</v>
      </c>
      <c r="E411" s="5">
        <v>1975</v>
      </c>
      <c r="F411" s="5">
        <v>2274</v>
      </c>
      <c r="G411" s="3" t="s">
        <v>21</v>
      </c>
      <c r="H411" s="4">
        <v>11.49</v>
      </c>
      <c r="I411" s="4">
        <v>7.32</v>
      </c>
      <c r="J411" s="5">
        <v>99131</v>
      </c>
      <c r="K411" s="5">
        <v>120896</v>
      </c>
      <c r="L411" s="5">
        <v>88454</v>
      </c>
      <c r="M411" s="3" t="s">
        <v>23</v>
      </c>
      <c r="N411" s="10">
        <v>21526</v>
      </c>
      <c r="O411" s="12">
        <f>(Fact_Table[[#This Row],[Petrol_Output_BPD]]+Fact_Table[[#This Row],[Diesel_Output_BPD]]+Fact_Table[[#This Row],[Gas_Output_BPD]])/Fact_Table[[#This Row],[No_of_Employees]]</f>
        <v>135.65567282321899</v>
      </c>
      <c r="P411" s="2" t="str">
        <f>IF(Fact_Table[[#This Row],[0/P Producyivity/Day]]&gt;=1000,"High",IF(Fact_Table[[#This Row],[0/P Producyivity/Day]]&gt;=500,"Medium","Low"))</f>
        <v>Low</v>
      </c>
      <c r="Q411" s="10">
        <f>Fact_Table[[#This Row],[Capacity_BPD]]/Fact_Table[[#This Row],[Average_Salary_AED]]</f>
        <v>14.330716343027037</v>
      </c>
      <c r="R411" s="15">
        <f>(Fact_Table[[#This Row],[Petrol_Output_BPD]]/Fact_Table[[#This Row],[Capacity_BPD]])</f>
        <v>0.32134996093787987</v>
      </c>
      <c r="S411" s="15">
        <f>Fact_Table[[#This Row],[Diesel_Output_BPD]]/Fact_Table[[#This Row],[Capacity_BPD]]</f>
        <v>0.39190490237711639</v>
      </c>
      <c r="T411" s="15">
        <f>Fact_Table[[#This Row],[Gas_Output_BPD]]/Fact_Table[[#This Row],[Capacity_BPD]]</f>
        <v>0.28673865334556525</v>
      </c>
      <c r="U41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11" s="8">
        <f ca="1">YEAR(TODAY())-Fact_Table[[#This Row],[Commissioned_Year]]</f>
        <v>50</v>
      </c>
      <c r="W411" s="40" cm="1">
        <f t="array" ref="W411">_xlfn.XLOOKUP(Fact_Table[[#This Row],[Commissioned_Year]],cost_table[[#All],[Year]],cost_table[[#All],[Average_Crude_Price_USD_per_Barrel]],"0")</f>
        <v>10.7</v>
      </c>
      <c r="X411" s="40">
        <f>Fact_Table[[#This Row],[Capacity_BPD]]*Fact_Table[[#This Row],[cost per barrel]]</f>
        <v>3300768.0999999996</v>
      </c>
    </row>
    <row r="412" spans="1:24" x14ac:dyDescent="0.35">
      <c r="A412" t="s">
        <v>30</v>
      </c>
      <c r="B412" t="s">
        <v>25</v>
      </c>
      <c r="C412" t="s">
        <v>48</v>
      </c>
      <c r="D412" s="5">
        <v>307983</v>
      </c>
      <c r="E412" s="5">
        <v>1988</v>
      </c>
      <c r="F412" s="5">
        <v>2368</v>
      </c>
      <c r="G412" s="3" t="s">
        <v>31</v>
      </c>
      <c r="H412" s="4">
        <v>13.93</v>
      </c>
      <c r="I412" s="4">
        <v>9.1199999999999992</v>
      </c>
      <c r="J412" s="5">
        <v>88473</v>
      </c>
      <c r="K412" s="5">
        <v>139528</v>
      </c>
      <c r="L412" s="5">
        <v>79981</v>
      </c>
      <c r="M412" s="3" t="s">
        <v>29</v>
      </c>
      <c r="N412" s="10">
        <v>14554</v>
      </c>
      <c r="O412" s="12">
        <f>(Fact_Table[[#This Row],[Petrol_Output_BPD]]+Fact_Table[[#This Row],[Diesel_Output_BPD]]+Fact_Table[[#This Row],[Gas_Output_BPD]])/Fact_Table[[#This Row],[No_of_Employees]]</f>
        <v>130.05996621621622</v>
      </c>
      <c r="P412" s="2" t="str">
        <f>IF(Fact_Table[[#This Row],[0/P Producyivity/Day]]&gt;=1000,"High",IF(Fact_Table[[#This Row],[0/P Producyivity/Day]]&gt;=500,"Medium","Low"))</f>
        <v>Low</v>
      </c>
      <c r="Q412" s="10">
        <f>Fact_Table[[#This Row],[Capacity_BPD]]/Fact_Table[[#This Row],[Average_Salary_AED]]</f>
        <v>21.161398928129724</v>
      </c>
      <c r="R412" s="15">
        <f>(Fact_Table[[#This Row],[Petrol_Output_BPD]]/Fact_Table[[#This Row],[Capacity_BPD]])</f>
        <v>0.28726585558293805</v>
      </c>
      <c r="S412" s="15">
        <f>Fact_Table[[#This Row],[Diesel_Output_BPD]]/Fact_Table[[#This Row],[Capacity_BPD]]</f>
        <v>0.45303799235672099</v>
      </c>
      <c r="T412" s="15">
        <f>Fact_Table[[#This Row],[Gas_Output_BPD]]/Fact_Table[[#This Row],[Capacity_BPD]]</f>
        <v>0.25969290512788046</v>
      </c>
      <c r="U412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12" s="8">
        <f ca="1">YEAR(TODAY())-Fact_Table[[#This Row],[Commissioned_Year]]</f>
        <v>37</v>
      </c>
      <c r="W412" s="40" cm="1">
        <f t="array" ref="W412">_xlfn.XLOOKUP(Fact_Table[[#This Row],[Commissioned_Year]],cost_table[[#All],[Year]],cost_table[[#All],[Average_Crude_Price_USD_per_Barrel]],"0")</f>
        <v>14.9</v>
      </c>
      <c r="X412" s="40">
        <f>Fact_Table[[#This Row],[Capacity_BPD]]*Fact_Table[[#This Row],[cost per barrel]]</f>
        <v>4588946.7</v>
      </c>
    </row>
    <row r="413" spans="1:24" x14ac:dyDescent="0.35">
      <c r="A413" t="s">
        <v>24</v>
      </c>
      <c r="B413" t="s">
        <v>26</v>
      </c>
      <c r="C413" t="s">
        <v>33</v>
      </c>
      <c r="D413" s="5">
        <v>61315</v>
      </c>
      <c r="E413" s="5">
        <v>2013</v>
      </c>
      <c r="F413" s="5">
        <v>1078</v>
      </c>
      <c r="G413" s="3" t="s">
        <v>31</v>
      </c>
      <c r="H413" s="4">
        <v>19.62</v>
      </c>
      <c r="I413" s="4">
        <v>8.68</v>
      </c>
      <c r="J413" s="5">
        <v>22800</v>
      </c>
      <c r="K413" s="5">
        <v>25958</v>
      </c>
      <c r="L413" s="5">
        <v>12556</v>
      </c>
      <c r="M413" s="3" t="s">
        <v>29</v>
      </c>
      <c r="N413" s="10">
        <v>14257</v>
      </c>
      <c r="O413" s="12">
        <f>(Fact_Table[[#This Row],[Petrol_Output_BPD]]+Fact_Table[[#This Row],[Diesel_Output_BPD]]+Fact_Table[[#This Row],[Gas_Output_BPD]])/Fact_Table[[#This Row],[No_of_Employees]]</f>
        <v>56.877551020408163</v>
      </c>
      <c r="P413" s="2" t="str">
        <f>IF(Fact_Table[[#This Row],[0/P Producyivity/Day]]&gt;=1000,"High",IF(Fact_Table[[#This Row],[0/P Producyivity/Day]]&gt;=500,"Medium","Low"))</f>
        <v>Low</v>
      </c>
      <c r="Q413" s="10">
        <f>Fact_Table[[#This Row],[Capacity_BPD]]/Fact_Table[[#This Row],[Average_Salary_AED]]</f>
        <v>4.3006943957354284</v>
      </c>
      <c r="R413" s="15">
        <f>(Fact_Table[[#This Row],[Petrol_Output_BPD]]/Fact_Table[[#This Row],[Capacity_BPD]])</f>
        <v>0.37185028133409442</v>
      </c>
      <c r="S413" s="15">
        <f>Fact_Table[[#This Row],[Diesel_Output_BPD]]/Fact_Table[[#This Row],[Capacity_BPD]]</f>
        <v>0.42335480714343959</v>
      </c>
      <c r="T413" s="15">
        <f>Fact_Table[[#This Row],[Gas_Output_BPD]]/Fact_Table[[#This Row],[Capacity_BPD]]</f>
        <v>0.20477860229960043</v>
      </c>
      <c r="U413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13" s="8">
        <f ca="1">YEAR(TODAY())-Fact_Table[[#This Row],[Commissioned_Year]]</f>
        <v>12</v>
      </c>
      <c r="W413" s="40" cm="1">
        <f t="array" ref="W413">_xlfn.XLOOKUP(Fact_Table[[#This Row],[Commissioned_Year]],cost_table[[#All],[Year]],cost_table[[#All],[Average_Crude_Price_USD_per_Barrel]],"0")</f>
        <v>97.3</v>
      </c>
      <c r="X413" s="40">
        <f>Fact_Table[[#This Row],[Capacity_BPD]]*Fact_Table[[#This Row],[cost per barrel]]</f>
        <v>5965949.5</v>
      </c>
    </row>
    <row r="414" spans="1:24" x14ac:dyDescent="0.35">
      <c r="A414" t="s">
        <v>45</v>
      </c>
      <c r="B414" t="s">
        <v>26</v>
      </c>
      <c r="C414" t="s">
        <v>33</v>
      </c>
      <c r="D414" s="5">
        <v>621824</v>
      </c>
      <c r="E414" s="5">
        <v>2000</v>
      </c>
      <c r="F414" s="5">
        <v>684</v>
      </c>
      <c r="G414" s="3" t="s">
        <v>21</v>
      </c>
      <c r="H414" s="4">
        <v>25.38</v>
      </c>
      <c r="I414" s="4">
        <v>7.44</v>
      </c>
      <c r="J414" s="5">
        <v>248355</v>
      </c>
      <c r="K414" s="5">
        <v>282473</v>
      </c>
      <c r="L414" s="5">
        <v>90994</v>
      </c>
      <c r="M414" s="3" t="s">
        <v>38</v>
      </c>
      <c r="N414" s="10">
        <v>13860</v>
      </c>
      <c r="O414" s="12">
        <f>(Fact_Table[[#This Row],[Petrol_Output_BPD]]+Fact_Table[[#This Row],[Diesel_Output_BPD]]+Fact_Table[[#This Row],[Gas_Output_BPD]])/Fact_Table[[#This Row],[No_of_Employees]]</f>
        <v>909.09649122807014</v>
      </c>
      <c r="P414" s="2" t="str">
        <f>IF(Fact_Table[[#This Row],[0/P Producyivity/Day]]&gt;=1000,"High",IF(Fact_Table[[#This Row],[0/P Producyivity/Day]]&gt;=500,"Medium","Low"))</f>
        <v>Medium</v>
      </c>
      <c r="Q414" s="10">
        <f>Fact_Table[[#This Row],[Capacity_BPD]]/Fact_Table[[#This Row],[Average_Salary_AED]]</f>
        <v>44.864646464646462</v>
      </c>
      <c r="R414" s="15">
        <f>(Fact_Table[[#This Row],[Petrol_Output_BPD]]/Fact_Table[[#This Row],[Capacity_BPD]])</f>
        <v>0.39939757873610537</v>
      </c>
      <c r="S414" s="15">
        <f>Fact_Table[[#This Row],[Diesel_Output_BPD]]/Fact_Table[[#This Row],[Capacity_BPD]]</f>
        <v>0.45426519400988064</v>
      </c>
      <c r="T414" s="15">
        <f>Fact_Table[[#This Row],[Gas_Output_BPD]]/Fact_Table[[#This Row],[Capacity_BPD]]</f>
        <v>0.14633401090983944</v>
      </c>
      <c r="U414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14" s="8">
        <f ca="1">YEAR(TODAY())-Fact_Table[[#This Row],[Commissioned_Year]]</f>
        <v>25</v>
      </c>
      <c r="W414" s="40" cm="1">
        <f t="array" ref="W414">_xlfn.XLOOKUP(Fact_Table[[#This Row],[Commissioned_Year]],cost_table[[#All],[Year]],cost_table[[#All],[Average_Crude_Price_USD_per_Barrel]],"0")</f>
        <v>23.1</v>
      </c>
      <c r="X414" s="40">
        <f>Fact_Table[[#This Row],[Capacity_BPD]]*Fact_Table[[#This Row],[cost per barrel]]</f>
        <v>14364134.4</v>
      </c>
    </row>
    <row r="415" spans="1:24" x14ac:dyDescent="0.35">
      <c r="A415" t="s">
        <v>36</v>
      </c>
      <c r="B415" t="s">
        <v>40</v>
      </c>
      <c r="C415" t="s">
        <v>51</v>
      </c>
      <c r="D415" s="5">
        <v>225145</v>
      </c>
      <c r="E415" s="5">
        <v>2023</v>
      </c>
      <c r="F415" s="5">
        <v>1130</v>
      </c>
      <c r="G415" s="3" t="s">
        <v>21</v>
      </c>
      <c r="H415" s="4">
        <v>25.48</v>
      </c>
      <c r="I415" s="4">
        <v>5.12</v>
      </c>
      <c r="J415" s="5">
        <v>88317</v>
      </c>
      <c r="K415" s="5">
        <v>83000</v>
      </c>
      <c r="L415" s="5">
        <v>53826</v>
      </c>
      <c r="M415" s="3" t="s">
        <v>29</v>
      </c>
      <c r="N415" s="10">
        <v>18563</v>
      </c>
      <c r="O415" s="12">
        <f>(Fact_Table[[#This Row],[Petrol_Output_BPD]]+Fact_Table[[#This Row],[Diesel_Output_BPD]]+Fact_Table[[#This Row],[Gas_Output_BPD]])/Fact_Table[[#This Row],[No_of_Employees]]</f>
        <v>199.24159292035398</v>
      </c>
      <c r="P415" s="2" t="str">
        <f>IF(Fact_Table[[#This Row],[0/P Producyivity/Day]]&gt;=1000,"High",IF(Fact_Table[[#This Row],[0/P Producyivity/Day]]&gt;=500,"Medium","Low"))</f>
        <v>Low</v>
      </c>
      <c r="Q415" s="10">
        <f>Fact_Table[[#This Row],[Capacity_BPD]]/Fact_Table[[#This Row],[Average_Salary_AED]]</f>
        <v>12.128696870117977</v>
      </c>
      <c r="R415" s="15">
        <f>(Fact_Table[[#This Row],[Petrol_Output_BPD]]/Fact_Table[[#This Row],[Capacity_BPD]])</f>
        <v>0.3922672055786271</v>
      </c>
      <c r="S415" s="15">
        <f>Fact_Table[[#This Row],[Diesel_Output_BPD]]/Fact_Table[[#This Row],[Capacity_BPD]]</f>
        <v>0.3686513135979036</v>
      </c>
      <c r="T415" s="15">
        <f>Fact_Table[[#This Row],[Gas_Output_BPD]]/Fact_Table[[#This Row],[Capacity_BPD]]</f>
        <v>0.23907259765928623</v>
      </c>
      <c r="U415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15" s="8">
        <f ca="1">YEAR(TODAY())-Fact_Table[[#This Row],[Commissioned_Year]]</f>
        <v>2</v>
      </c>
      <c r="W415" s="40" cm="1">
        <f t="array" ref="W415">_xlfn.XLOOKUP(Fact_Table[[#This Row],[Commissioned_Year]],cost_table[[#All],[Year]],cost_table[[#All],[Average_Crude_Price_USD_per_Barrel]],"0")</f>
        <v>64.3</v>
      </c>
      <c r="X415" s="40">
        <f>Fact_Table[[#This Row],[Capacity_BPD]]*Fact_Table[[#This Row],[cost per barrel]]</f>
        <v>14476823.5</v>
      </c>
    </row>
    <row r="416" spans="1:24" x14ac:dyDescent="0.35">
      <c r="A416" t="s">
        <v>36</v>
      </c>
      <c r="B416" t="s">
        <v>32</v>
      </c>
      <c r="C416" t="s">
        <v>50</v>
      </c>
      <c r="D416" s="5">
        <v>569013</v>
      </c>
      <c r="E416" s="5">
        <v>2022</v>
      </c>
      <c r="F416" s="5">
        <v>451</v>
      </c>
      <c r="G416" s="3" t="s">
        <v>28</v>
      </c>
      <c r="H416" s="4">
        <v>12</v>
      </c>
      <c r="I416" s="4">
        <v>5.31</v>
      </c>
      <c r="J416" s="5">
        <v>188709</v>
      </c>
      <c r="K416" s="5">
        <v>294174</v>
      </c>
      <c r="L416" s="5">
        <v>86129</v>
      </c>
      <c r="M416" s="3" t="s">
        <v>34</v>
      </c>
      <c r="N416" s="10">
        <v>23636</v>
      </c>
      <c r="O416" s="12">
        <f>(Fact_Table[[#This Row],[Petrol_Output_BPD]]+Fact_Table[[#This Row],[Diesel_Output_BPD]]+Fact_Table[[#This Row],[Gas_Output_BPD]])/Fact_Table[[#This Row],[No_of_Employees]]</f>
        <v>1261.6674057649668</v>
      </c>
      <c r="P416" s="2" t="str">
        <f>IF(Fact_Table[[#This Row],[0/P Producyivity/Day]]&gt;=1000,"High",IF(Fact_Table[[#This Row],[0/P Producyivity/Day]]&gt;=500,"Medium","Low"))</f>
        <v>High</v>
      </c>
      <c r="Q416" s="10">
        <f>Fact_Table[[#This Row],[Capacity_BPD]]/Fact_Table[[#This Row],[Average_Salary_AED]]</f>
        <v>24.073997292266036</v>
      </c>
      <c r="R416" s="15">
        <f>(Fact_Table[[#This Row],[Petrol_Output_BPD]]/Fact_Table[[#This Row],[Capacity_BPD]])</f>
        <v>0.33164268654670453</v>
      </c>
      <c r="S416" s="15">
        <f>Fact_Table[[#This Row],[Diesel_Output_BPD]]/Fact_Table[[#This Row],[Capacity_BPD]]</f>
        <v>0.51698994574816393</v>
      </c>
      <c r="T416" s="15">
        <f>Fact_Table[[#This Row],[Gas_Output_BPD]]/Fact_Table[[#This Row],[Capacity_BPD]]</f>
        <v>0.1513656102760394</v>
      </c>
      <c r="U41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16" s="8">
        <f ca="1">YEAR(TODAY())-Fact_Table[[#This Row],[Commissioned_Year]]</f>
        <v>3</v>
      </c>
      <c r="W416" s="40" cm="1">
        <f t="array" ref="W416">_xlfn.XLOOKUP(Fact_Table[[#This Row],[Commissioned_Year]],cost_table[[#All],[Year]],cost_table[[#All],[Average_Crude_Price_USD_per_Barrel]],"0")</f>
        <v>71.3</v>
      </c>
      <c r="X416" s="40">
        <f>Fact_Table[[#This Row],[Capacity_BPD]]*Fact_Table[[#This Row],[cost per barrel]]</f>
        <v>40570626.899999999</v>
      </c>
    </row>
    <row r="417" spans="1:24" x14ac:dyDescent="0.35">
      <c r="A417" t="s">
        <v>27</v>
      </c>
      <c r="B417" t="s">
        <v>41</v>
      </c>
      <c r="C417" t="s">
        <v>46</v>
      </c>
      <c r="D417" s="5">
        <v>148824</v>
      </c>
      <c r="E417" s="5">
        <v>2003</v>
      </c>
      <c r="F417" s="5">
        <v>1169</v>
      </c>
      <c r="G417" s="3" t="s">
        <v>31</v>
      </c>
      <c r="H417" s="4">
        <v>18.23</v>
      </c>
      <c r="I417" s="4">
        <v>9.9499999999999993</v>
      </c>
      <c r="J417" s="5">
        <v>50425</v>
      </c>
      <c r="K417" s="5">
        <v>69198</v>
      </c>
      <c r="L417" s="5">
        <v>29200</v>
      </c>
      <c r="M417" s="3" t="s">
        <v>34</v>
      </c>
      <c r="N417" s="10">
        <v>22937</v>
      </c>
      <c r="O417" s="12">
        <f>(Fact_Table[[#This Row],[Petrol_Output_BPD]]+Fact_Table[[#This Row],[Diesel_Output_BPD]]+Fact_Table[[#This Row],[Gas_Output_BPD]])/Fact_Table[[#This Row],[No_of_Employees]]</f>
        <v>127.30795551753636</v>
      </c>
      <c r="P417" s="2" t="str">
        <f>IF(Fact_Table[[#This Row],[0/P Producyivity/Day]]&gt;=1000,"High",IF(Fact_Table[[#This Row],[0/P Producyivity/Day]]&gt;=500,"Medium","Low"))</f>
        <v>Low</v>
      </c>
      <c r="Q417" s="10">
        <f>Fact_Table[[#This Row],[Capacity_BPD]]/Fact_Table[[#This Row],[Average_Salary_AED]]</f>
        <v>6.488381218119196</v>
      </c>
      <c r="R417" s="15">
        <f>(Fact_Table[[#This Row],[Petrol_Output_BPD]]/Fact_Table[[#This Row],[Capacity_BPD]])</f>
        <v>0.33882303929473739</v>
      </c>
      <c r="S417" s="15">
        <f>Fact_Table[[#This Row],[Diesel_Output_BPD]]/Fact_Table[[#This Row],[Capacity_BPD]]</f>
        <v>0.46496532817287534</v>
      </c>
      <c r="T417" s="15">
        <f>Fact_Table[[#This Row],[Gas_Output_BPD]]/Fact_Table[[#This Row],[Capacity_BPD]]</f>
        <v>0.19620491318604527</v>
      </c>
      <c r="U417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17" s="8">
        <f ca="1">YEAR(TODAY())-Fact_Table[[#This Row],[Commissioned_Year]]</f>
        <v>22</v>
      </c>
      <c r="W417" s="40" cm="1">
        <f t="array" ref="W417">_xlfn.XLOOKUP(Fact_Table[[#This Row],[Commissioned_Year]],cost_table[[#All],[Year]],cost_table[[#All],[Average_Crude_Price_USD_per_Barrel]],"0")</f>
        <v>17.2</v>
      </c>
      <c r="X417" s="40">
        <f>Fact_Table[[#This Row],[Capacity_BPD]]*Fact_Table[[#This Row],[cost per barrel]]</f>
        <v>2559772.7999999998</v>
      </c>
    </row>
    <row r="418" spans="1:24" x14ac:dyDescent="0.35">
      <c r="A418" t="s">
        <v>35</v>
      </c>
      <c r="B418" t="s">
        <v>25</v>
      </c>
      <c r="C418" t="s">
        <v>33</v>
      </c>
      <c r="D418" s="5">
        <v>728124</v>
      </c>
      <c r="E418" s="5">
        <v>2009</v>
      </c>
      <c r="F418" s="5">
        <v>946</v>
      </c>
      <c r="G418" s="3" t="s">
        <v>31</v>
      </c>
      <c r="H418" s="4">
        <v>11.19</v>
      </c>
      <c r="I418" s="4">
        <v>9.8000000000000007</v>
      </c>
      <c r="J418" s="5">
        <v>318917</v>
      </c>
      <c r="K418" s="5">
        <v>300830</v>
      </c>
      <c r="L418" s="5">
        <v>108376</v>
      </c>
      <c r="M418" s="3" t="s">
        <v>23</v>
      </c>
      <c r="N418" s="10">
        <v>14270</v>
      </c>
      <c r="O418" s="12">
        <f>(Fact_Table[[#This Row],[Petrol_Output_BPD]]+Fact_Table[[#This Row],[Diesel_Output_BPD]]+Fact_Table[[#This Row],[Gas_Output_BPD]])/Fact_Table[[#This Row],[No_of_Employees]]</f>
        <v>769.68604651162786</v>
      </c>
      <c r="P418" s="2" t="str">
        <f>IF(Fact_Table[[#This Row],[0/P Producyivity/Day]]&gt;=1000,"High",IF(Fact_Table[[#This Row],[0/P Producyivity/Day]]&gt;=500,"Medium","Low"))</f>
        <v>Medium</v>
      </c>
      <c r="Q418" s="10">
        <f>Fact_Table[[#This Row],[Capacity_BPD]]/Fact_Table[[#This Row],[Average_Salary_AED]]</f>
        <v>51.024807288016817</v>
      </c>
      <c r="R418" s="15">
        <f>(Fact_Table[[#This Row],[Petrol_Output_BPD]]/Fact_Table[[#This Row],[Capacity_BPD]])</f>
        <v>0.43799819810911328</v>
      </c>
      <c r="S418" s="15">
        <f>Fact_Table[[#This Row],[Diesel_Output_BPD]]/Fact_Table[[#This Row],[Capacity_BPD]]</f>
        <v>0.4131576489718784</v>
      </c>
      <c r="T418" s="15">
        <f>Fact_Table[[#This Row],[Gas_Output_BPD]]/Fact_Table[[#This Row],[Capacity_BPD]]</f>
        <v>0.14884277952656416</v>
      </c>
      <c r="U418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18" s="8">
        <f ca="1">YEAR(TODAY())-Fact_Table[[#This Row],[Commissioned_Year]]</f>
        <v>16</v>
      </c>
      <c r="W418" s="40" cm="1">
        <f t="array" ref="W418">_xlfn.XLOOKUP(Fact_Table[[#This Row],[Commissioned_Year]],cost_table[[#All],[Year]],cost_table[[#All],[Average_Crude_Price_USD_per_Barrel]],"0")</f>
        <v>41.4</v>
      </c>
      <c r="X418" s="40">
        <f>Fact_Table[[#This Row],[Capacity_BPD]]*Fact_Table[[#This Row],[cost per barrel]]</f>
        <v>30144333.599999998</v>
      </c>
    </row>
    <row r="419" spans="1:24" x14ac:dyDescent="0.35">
      <c r="A419" t="s">
        <v>35</v>
      </c>
      <c r="B419" t="s">
        <v>19</v>
      </c>
      <c r="C419" t="s">
        <v>39</v>
      </c>
      <c r="D419" s="5">
        <v>415365</v>
      </c>
      <c r="E419" s="5">
        <v>2014</v>
      </c>
      <c r="F419" s="5">
        <v>2144</v>
      </c>
      <c r="G419" s="3" t="s">
        <v>31</v>
      </c>
      <c r="H419" s="4">
        <v>8.2200000000000006</v>
      </c>
      <c r="I419" s="4">
        <v>6.87</v>
      </c>
      <c r="J419" s="5">
        <v>169557</v>
      </c>
      <c r="K419" s="5">
        <v>174157</v>
      </c>
      <c r="L419" s="5">
        <v>71650</v>
      </c>
      <c r="M419" s="3" t="s">
        <v>23</v>
      </c>
      <c r="N419" s="10">
        <v>10342</v>
      </c>
      <c r="O419" s="12">
        <f>(Fact_Table[[#This Row],[Petrol_Output_BPD]]+Fact_Table[[#This Row],[Diesel_Output_BPD]]+Fact_Table[[#This Row],[Gas_Output_BPD]])/Fact_Table[[#This Row],[No_of_Employees]]</f>
        <v>193.73320895522389</v>
      </c>
      <c r="P419" s="2" t="str">
        <f>IF(Fact_Table[[#This Row],[0/P Producyivity/Day]]&gt;=1000,"High",IF(Fact_Table[[#This Row],[0/P Producyivity/Day]]&gt;=500,"Medium","Low"))</f>
        <v>Low</v>
      </c>
      <c r="Q419" s="10">
        <f>Fact_Table[[#This Row],[Capacity_BPD]]/Fact_Table[[#This Row],[Average_Salary_AED]]</f>
        <v>40.162927866950298</v>
      </c>
      <c r="R419" s="15">
        <f>(Fact_Table[[#This Row],[Petrol_Output_BPD]]/Fact_Table[[#This Row],[Capacity_BPD]])</f>
        <v>0.40821205445812719</v>
      </c>
      <c r="S419" s="15">
        <f>Fact_Table[[#This Row],[Diesel_Output_BPD]]/Fact_Table[[#This Row],[Capacity_BPD]]</f>
        <v>0.41928665149928374</v>
      </c>
      <c r="T419" s="15">
        <f>Fact_Table[[#This Row],[Gas_Output_BPD]]/Fact_Table[[#This Row],[Capacity_BPD]]</f>
        <v>0.17249888652149314</v>
      </c>
      <c r="U419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19" s="8">
        <f ca="1">YEAR(TODAY())-Fact_Table[[#This Row],[Commissioned_Year]]</f>
        <v>11</v>
      </c>
      <c r="W419" s="40" cm="1">
        <f t="array" ref="W419">_xlfn.XLOOKUP(Fact_Table[[#This Row],[Commissioned_Year]],cost_table[[#All],[Year]],cost_table[[#All],[Average_Crude_Price_USD_per_Barrel]],"0")</f>
        <v>61.9</v>
      </c>
      <c r="X419" s="40">
        <f>Fact_Table[[#This Row],[Capacity_BPD]]*Fact_Table[[#This Row],[cost per barrel]]</f>
        <v>25711093.5</v>
      </c>
    </row>
    <row r="420" spans="1:24" x14ac:dyDescent="0.35">
      <c r="A420" t="s">
        <v>30</v>
      </c>
      <c r="B420" t="s">
        <v>40</v>
      </c>
      <c r="C420" t="s">
        <v>50</v>
      </c>
      <c r="D420" s="5">
        <v>429248</v>
      </c>
      <c r="E420" s="5">
        <v>2007</v>
      </c>
      <c r="F420" s="5">
        <v>779</v>
      </c>
      <c r="G420" s="3" t="s">
        <v>16</v>
      </c>
      <c r="H420" s="4">
        <v>21.63</v>
      </c>
      <c r="I420" s="4">
        <v>7</v>
      </c>
      <c r="J420" s="5">
        <v>196638</v>
      </c>
      <c r="K420" s="5">
        <v>186233</v>
      </c>
      <c r="L420" s="5">
        <v>46375</v>
      </c>
      <c r="M420" s="3" t="s">
        <v>38</v>
      </c>
      <c r="N420" s="10">
        <v>10014</v>
      </c>
      <c r="O420" s="12">
        <f>(Fact_Table[[#This Row],[Petrol_Output_BPD]]+Fact_Table[[#This Row],[Diesel_Output_BPD]]+Fact_Table[[#This Row],[Gas_Output_BPD]])/Fact_Table[[#This Row],[No_of_Employees]]</f>
        <v>551.02182284980745</v>
      </c>
      <c r="P420" s="2" t="str">
        <f>IF(Fact_Table[[#This Row],[0/P Producyivity/Day]]&gt;=1000,"High",IF(Fact_Table[[#This Row],[0/P Producyivity/Day]]&gt;=500,"Medium","Low"))</f>
        <v>Medium</v>
      </c>
      <c r="Q420" s="10">
        <f>Fact_Table[[#This Row],[Capacity_BPD]]/Fact_Table[[#This Row],[Average_Salary_AED]]</f>
        <v>42.86478929498702</v>
      </c>
      <c r="R420" s="15">
        <f>(Fact_Table[[#This Row],[Petrol_Output_BPD]]/Fact_Table[[#This Row],[Capacity_BPD]])</f>
        <v>0.45809881467123903</v>
      </c>
      <c r="S420" s="15">
        <f>Fact_Table[[#This Row],[Diesel_Output_BPD]]/Fact_Table[[#This Row],[Capacity_BPD]]</f>
        <v>0.43385874832264798</v>
      </c>
      <c r="T420" s="15">
        <f>Fact_Table[[#This Row],[Gas_Output_BPD]]/Fact_Table[[#This Row],[Capacity_BPD]]</f>
        <v>0.10803777769494557</v>
      </c>
      <c r="U420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20" s="8">
        <f ca="1">YEAR(TODAY())-Fact_Table[[#This Row],[Commissioned_Year]]</f>
        <v>18</v>
      </c>
      <c r="W420" s="40" cm="1">
        <f t="array" ref="W420">_xlfn.XLOOKUP(Fact_Table[[#This Row],[Commissioned_Year]],cost_table[[#All],[Year]],cost_table[[#All],[Average_Crude_Price_USD_per_Barrel]],"0")</f>
        <v>24.4</v>
      </c>
      <c r="X420" s="40">
        <f>Fact_Table[[#This Row],[Capacity_BPD]]*Fact_Table[[#This Row],[cost per barrel]]</f>
        <v>10473651.199999999</v>
      </c>
    </row>
    <row r="421" spans="1:24" x14ac:dyDescent="0.35">
      <c r="A421" t="s">
        <v>22</v>
      </c>
      <c r="B421" t="s">
        <v>19</v>
      </c>
      <c r="C421" t="s">
        <v>20</v>
      </c>
      <c r="D421" s="5">
        <v>100675</v>
      </c>
      <c r="E421" s="5">
        <v>1988</v>
      </c>
      <c r="F421" s="5">
        <v>1756</v>
      </c>
      <c r="G421" s="3" t="s">
        <v>31</v>
      </c>
      <c r="H421" s="4">
        <v>10.4</v>
      </c>
      <c r="I421" s="4">
        <v>7.51</v>
      </c>
      <c r="J421" s="5">
        <v>34835</v>
      </c>
      <c r="K421" s="5">
        <v>42131</v>
      </c>
      <c r="L421" s="5">
        <v>23707</v>
      </c>
      <c r="M421" s="3" t="s">
        <v>38</v>
      </c>
      <c r="N421" s="10">
        <v>23647</v>
      </c>
      <c r="O421" s="12">
        <f>(Fact_Table[[#This Row],[Petrol_Output_BPD]]+Fact_Table[[#This Row],[Diesel_Output_BPD]]+Fact_Table[[#This Row],[Gas_Output_BPD]])/Fact_Table[[#This Row],[No_of_Employees]]</f>
        <v>57.330865603644646</v>
      </c>
      <c r="P421" s="2" t="str">
        <f>IF(Fact_Table[[#This Row],[0/P Producyivity/Day]]&gt;=1000,"High",IF(Fact_Table[[#This Row],[0/P Producyivity/Day]]&gt;=500,"Medium","Low"))</f>
        <v>Low</v>
      </c>
      <c r="Q421" s="10">
        <f>Fact_Table[[#This Row],[Capacity_BPD]]/Fact_Table[[#This Row],[Average_Salary_AED]]</f>
        <v>4.2574110880872835</v>
      </c>
      <c r="R421" s="15">
        <f>(Fact_Table[[#This Row],[Petrol_Output_BPD]]/Fact_Table[[#This Row],[Capacity_BPD]])</f>
        <v>0.34601440278122669</v>
      </c>
      <c r="S421" s="15">
        <f>Fact_Table[[#This Row],[Diesel_Output_BPD]]/Fact_Table[[#This Row],[Capacity_BPD]]</f>
        <v>0.41848522473305189</v>
      </c>
      <c r="T421" s="15">
        <f>Fact_Table[[#This Row],[Gas_Output_BPD]]/Fact_Table[[#This Row],[Capacity_BPD]]</f>
        <v>0.23548050658058109</v>
      </c>
      <c r="U42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21" s="8">
        <f ca="1">YEAR(TODAY())-Fact_Table[[#This Row],[Commissioned_Year]]</f>
        <v>37</v>
      </c>
      <c r="W421" s="40" cm="1">
        <f t="array" ref="W421">_xlfn.XLOOKUP(Fact_Table[[#This Row],[Commissioned_Year]],cost_table[[#All],[Year]],cost_table[[#All],[Average_Crude_Price_USD_per_Barrel]],"0")</f>
        <v>14.9</v>
      </c>
      <c r="X421" s="40">
        <f>Fact_Table[[#This Row],[Capacity_BPD]]*Fact_Table[[#This Row],[cost per barrel]]</f>
        <v>1500057.5</v>
      </c>
    </row>
    <row r="422" spans="1:24" x14ac:dyDescent="0.35">
      <c r="A422" t="s">
        <v>30</v>
      </c>
      <c r="B422" t="s">
        <v>25</v>
      </c>
      <c r="C422" t="s">
        <v>33</v>
      </c>
      <c r="D422" s="5">
        <v>152927</v>
      </c>
      <c r="E422" s="5">
        <v>2020</v>
      </c>
      <c r="F422" s="5">
        <v>479</v>
      </c>
      <c r="G422" s="3" t="s">
        <v>28</v>
      </c>
      <c r="H422" s="4">
        <v>6.44</v>
      </c>
      <c r="I422" s="4">
        <v>6.14</v>
      </c>
      <c r="J422" s="5">
        <v>64052</v>
      </c>
      <c r="K422" s="5">
        <v>70187</v>
      </c>
      <c r="L422" s="5">
        <v>18687</v>
      </c>
      <c r="M422" s="3" t="s">
        <v>17</v>
      </c>
      <c r="N422" s="10">
        <v>24555</v>
      </c>
      <c r="O422" s="12">
        <f>(Fact_Table[[#This Row],[Petrol_Output_BPD]]+Fact_Table[[#This Row],[Diesel_Output_BPD]]+Fact_Table[[#This Row],[Gas_Output_BPD]])/Fact_Table[[#This Row],[No_of_Employees]]</f>
        <v>319.26096033402922</v>
      </c>
      <c r="P422" s="2" t="str">
        <f>IF(Fact_Table[[#This Row],[0/P Producyivity/Day]]&gt;=1000,"High",IF(Fact_Table[[#This Row],[0/P Producyivity/Day]]&gt;=500,"Medium","Low"))</f>
        <v>Low</v>
      </c>
      <c r="Q422" s="10">
        <f>Fact_Table[[#This Row],[Capacity_BPD]]/Fact_Table[[#This Row],[Average_Salary_AED]]</f>
        <v>6.2279372836489513</v>
      </c>
      <c r="R422" s="15">
        <f>(Fact_Table[[#This Row],[Petrol_Output_BPD]]/Fact_Table[[#This Row],[Capacity_BPD]])</f>
        <v>0.41884036174122291</v>
      </c>
      <c r="S422" s="15">
        <f>Fact_Table[[#This Row],[Diesel_Output_BPD]]/Fact_Table[[#This Row],[Capacity_BPD]]</f>
        <v>0.45895754183368537</v>
      </c>
      <c r="T422" s="15">
        <f>Fact_Table[[#This Row],[Gas_Output_BPD]]/Fact_Table[[#This Row],[Capacity_BPD]]</f>
        <v>0.12219555735743198</v>
      </c>
      <c r="U42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22" s="8">
        <f ca="1">YEAR(TODAY())-Fact_Table[[#This Row],[Commissioned_Year]]</f>
        <v>5</v>
      </c>
      <c r="W422" s="40" cm="1">
        <f t="array" ref="W422">_xlfn.XLOOKUP(Fact_Table[[#This Row],[Commissioned_Year]],cost_table[[#All],[Year]],cost_table[[#All],[Average_Crude_Price_USD_per_Barrel]],"0")</f>
        <v>43.7</v>
      </c>
      <c r="X422" s="40">
        <f>Fact_Table[[#This Row],[Capacity_BPD]]*Fact_Table[[#This Row],[cost per barrel]]</f>
        <v>6682909.9000000004</v>
      </c>
    </row>
    <row r="423" spans="1:24" x14ac:dyDescent="0.35">
      <c r="A423" t="s">
        <v>30</v>
      </c>
      <c r="B423" t="s">
        <v>40</v>
      </c>
      <c r="C423" t="s">
        <v>49</v>
      </c>
      <c r="D423" s="5">
        <v>532702</v>
      </c>
      <c r="E423" s="5">
        <v>2001</v>
      </c>
      <c r="F423" s="5">
        <v>480</v>
      </c>
      <c r="G423" s="3" t="s">
        <v>28</v>
      </c>
      <c r="H423" s="4">
        <v>31.14</v>
      </c>
      <c r="I423" s="4">
        <v>8.91</v>
      </c>
      <c r="J423" s="5">
        <v>198472</v>
      </c>
      <c r="K423" s="5">
        <v>219536</v>
      </c>
      <c r="L423" s="5">
        <v>114693</v>
      </c>
      <c r="M423" s="3" t="s">
        <v>34</v>
      </c>
      <c r="N423" s="10">
        <v>12522</v>
      </c>
      <c r="O423" s="12">
        <f>(Fact_Table[[#This Row],[Petrol_Output_BPD]]+Fact_Table[[#This Row],[Diesel_Output_BPD]]+Fact_Table[[#This Row],[Gas_Output_BPD]])/Fact_Table[[#This Row],[No_of_Employees]]</f>
        <v>1109.79375</v>
      </c>
      <c r="P423" s="2" t="str">
        <f>IF(Fact_Table[[#This Row],[0/P Producyivity/Day]]&gt;=1000,"High",IF(Fact_Table[[#This Row],[0/P Producyivity/Day]]&gt;=500,"Medium","Low"))</f>
        <v>High</v>
      </c>
      <c r="Q423" s="10">
        <f>Fact_Table[[#This Row],[Capacity_BPD]]/Fact_Table[[#This Row],[Average_Salary_AED]]</f>
        <v>42.541287334291646</v>
      </c>
      <c r="R423" s="15">
        <f>(Fact_Table[[#This Row],[Petrol_Output_BPD]]/Fact_Table[[#This Row],[Capacity_BPD]])</f>
        <v>0.37257603688366103</v>
      </c>
      <c r="S423" s="15">
        <f>Fact_Table[[#This Row],[Diesel_Output_BPD]]/Fact_Table[[#This Row],[Capacity_BPD]]</f>
        <v>0.41211784449842503</v>
      </c>
      <c r="T423" s="15">
        <f>Fact_Table[[#This Row],[Gas_Output_BPD]]/Fact_Table[[#This Row],[Capacity_BPD]]</f>
        <v>0.21530424139575222</v>
      </c>
      <c r="U423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23" s="8">
        <f ca="1">YEAR(TODAY())-Fact_Table[[#This Row],[Commissioned_Year]]</f>
        <v>24</v>
      </c>
      <c r="W423" s="40" cm="1">
        <f t="array" ref="W423">_xlfn.XLOOKUP(Fact_Table[[#This Row],[Commissioned_Year]],cost_table[[#All],[Year]],cost_table[[#All],[Average_Crude_Price_USD_per_Barrel]],"0")</f>
        <v>28.4</v>
      </c>
      <c r="X423" s="40">
        <f>Fact_Table[[#This Row],[Capacity_BPD]]*Fact_Table[[#This Row],[cost per barrel]]</f>
        <v>15128736.799999999</v>
      </c>
    </row>
    <row r="424" spans="1:24" x14ac:dyDescent="0.35">
      <c r="A424" t="s">
        <v>18</v>
      </c>
      <c r="B424" t="s">
        <v>26</v>
      </c>
      <c r="C424" t="s">
        <v>15</v>
      </c>
      <c r="D424" s="5">
        <v>699584</v>
      </c>
      <c r="E424" s="5">
        <v>1995</v>
      </c>
      <c r="F424" s="5">
        <v>454</v>
      </c>
      <c r="G424" s="3" t="s">
        <v>21</v>
      </c>
      <c r="H424" s="4">
        <v>7.3</v>
      </c>
      <c r="I424" s="4">
        <v>9.75</v>
      </c>
      <c r="J424" s="5">
        <v>234541</v>
      </c>
      <c r="K424" s="5">
        <v>332183</v>
      </c>
      <c r="L424" s="5">
        <v>132859</v>
      </c>
      <c r="M424" s="3" t="s">
        <v>17</v>
      </c>
      <c r="N424" s="10">
        <v>12398</v>
      </c>
      <c r="O424" s="12">
        <f>(Fact_Table[[#This Row],[Petrol_Output_BPD]]+Fact_Table[[#This Row],[Diesel_Output_BPD]]+Fact_Table[[#This Row],[Gas_Output_BPD]])/Fact_Table[[#This Row],[No_of_Employees]]</f>
        <v>1540.931718061674</v>
      </c>
      <c r="P424" s="2" t="str">
        <f>IF(Fact_Table[[#This Row],[0/P Producyivity/Day]]&gt;=1000,"High",IF(Fact_Table[[#This Row],[0/P Producyivity/Day]]&gt;=500,"Medium","Low"))</f>
        <v>High</v>
      </c>
      <c r="Q424" s="10">
        <f>Fact_Table[[#This Row],[Capacity_BPD]]/Fact_Table[[#This Row],[Average_Salary_AED]]</f>
        <v>56.427165671882562</v>
      </c>
      <c r="R424" s="15">
        <f>(Fact_Table[[#This Row],[Petrol_Output_BPD]]/Fact_Table[[#This Row],[Capacity_BPD]])</f>
        <v>0.33525781035586866</v>
      </c>
      <c r="S424" s="15">
        <f>Fact_Table[[#This Row],[Diesel_Output_BPD]]/Fact_Table[[#This Row],[Capacity_BPD]]</f>
        <v>0.47482932714298781</v>
      </c>
      <c r="T424" s="15">
        <f>Fact_Table[[#This Row],[Gas_Output_BPD]]/Fact_Table[[#This Row],[Capacity_BPD]]</f>
        <v>0.18991143308023054</v>
      </c>
      <c r="U424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24" s="8">
        <f ca="1">YEAR(TODAY())-Fact_Table[[#This Row],[Commissioned_Year]]</f>
        <v>30</v>
      </c>
      <c r="W424" s="40" cm="1">
        <f t="array" ref="W424">_xlfn.XLOOKUP(Fact_Table[[#This Row],[Commissioned_Year]],cost_table[[#All],[Year]],cost_table[[#All],[Average_Crude_Price_USD_per_Barrel]],"0")</f>
        <v>20.100000000000001</v>
      </c>
      <c r="X424" s="40">
        <f>Fact_Table[[#This Row],[Capacity_BPD]]*Fact_Table[[#This Row],[cost per barrel]]</f>
        <v>14061638.4</v>
      </c>
    </row>
    <row r="425" spans="1:24" x14ac:dyDescent="0.35">
      <c r="A425" t="s">
        <v>24</v>
      </c>
      <c r="B425" t="s">
        <v>19</v>
      </c>
      <c r="C425" t="s">
        <v>47</v>
      </c>
      <c r="D425" s="5">
        <v>864322</v>
      </c>
      <c r="E425" s="5">
        <v>1981</v>
      </c>
      <c r="F425" s="5">
        <v>1806</v>
      </c>
      <c r="G425" s="3" t="s">
        <v>16</v>
      </c>
      <c r="H425" s="4">
        <v>26.03</v>
      </c>
      <c r="I425" s="4">
        <v>5.82</v>
      </c>
      <c r="J425" s="5">
        <v>263791</v>
      </c>
      <c r="K425" s="5">
        <v>476907</v>
      </c>
      <c r="L425" s="5">
        <v>123623</v>
      </c>
      <c r="M425" s="3" t="s">
        <v>38</v>
      </c>
      <c r="N425" s="10">
        <v>8125</v>
      </c>
      <c r="O425" s="12">
        <f>(Fact_Table[[#This Row],[Petrol_Output_BPD]]+Fact_Table[[#This Row],[Diesel_Output_BPD]]+Fact_Table[[#This Row],[Gas_Output_BPD]])/Fact_Table[[#This Row],[No_of_Employees]]</f>
        <v>478.5830564784053</v>
      </c>
      <c r="P425" s="2" t="str">
        <f>IF(Fact_Table[[#This Row],[0/P Producyivity/Day]]&gt;=1000,"High",IF(Fact_Table[[#This Row],[0/P Producyivity/Day]]&gt;=500,"Medium","Low"))</f>
        <v>Low</v>
      </c>
      <c r="Q425" s="10">
        <f>Fact_Table[[#This Row],[Capacity_BPD]]/Fact_Table[[#This Row],[Average_Salary_AED]]</f>
        <v>106.37809230769231</v>
      </c>
      <c r="R425" s="15">
        <f>(Fact_Table[[#This Row],[Petrol_Output_BPD]]/Fact_Table[[#This Row],[Capacity_BPD]])</f>
        <v>0.30519991392096929</v>
      </c>
      <c r="S425" s="15">
        <f>Fact_Table[[#This Row],[Diesel_Output_BPD]]/Fact_Table[[#This Row],[Capacity_BPD]]</f>
        <v>0.55177005791822953</v>
      </c>
      <c r="T425" s="15">
        <f>Fact_Table[[#This Row],[Gas_Output_BPD]]/Fact_Table[[#This Row],[Capacity_BPD]]</f>
        <v>0.14302887118458169</v>
      </c>
      <c r="U425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25" s="8">
        <f ca="1">YEAR(TODAY())-Fact_Table[[#This Row],[Commissioned_Year]]</f>
        <v>44</v>
      </c>
      <c r="W425" s="40" cm="1">
        <f t="array" ref="W425">_xlfn.XLOOKUP(Fact_Table[[#This Row],[Commissioned_Year]],cost_table[[#All],[Year]],cost_table[[#All],[Average_Crude_Price_USD_per_Barrel]],"0")</f>
        <v>35.700000000000003</v>
      </c>
      <c r="X425" s="40">
        <f>Fact_Table[[#This Row],[Capacity_BPD]]*Fact_Table[[#This Row],[cost per barrel]]</f>
        <v>30856295.400000002</v>
      </c>
    </row>
    <row r="426" spans="1:24" x14ac:dyDescent="0.35">
      <c r="A426" t="s">
        <v>18</v>
      </c>
      <c r="B426" t="s">
        <v>26</v>
      </c>
      <c r="C426" t="s">
        <v>51</v>
      </c>
      <c r="D426" s="5">
        <v>868835</v>
      </c>
      <c r="E426" s="5">
        <v>1982</v>
      </c>
      <c r="F426" s="5">
        <v>912</v>
      </c>
      <c r="G426" s="3" t="s">
        <v>31</v>
      </c>
      <c r="H426" s="4">
        <v>22.18</v>
      </c>
      <c r="I426" s="4">
        <v>8.64</v>
      </c>
      <c r="J426" s="5">
        <v>375394</v>
      </c>
      <c r="K426" s="5">
        <v>392499</v>
      </c>
      <c r="L426" s="5">
        <v>100941</v>
      </c>
      <c r="M426" s="3" t="s">
        <v>29</v>
      </c>
      <c r="N426" s="10">
        <v>8357</v>
      </c>
      <c r="O426" s="12">
        <f>(Fact_Table[[#This Row],[Petrol_Output_BPD]]+Fact_Table[[#This Row],[Diesel_Output_BPD]]+Fact_Table[[#This Row],[Gas_Output_BPD]])/Fact_Table[[#This Row],[No_of_Employees]]</f>
        <v>952.66885964912285</v>
      </c>
      <c r="P426" s="2" t="str">
        <f>IF(Fact_Table[[#This Row],[0/P Producyivity/Day]]&gt;=1000,"High",IF(Fact_Table[[#This Row],[0/P Producyivity/Day]]&gt;=500,"Medium","Low"))</f>
        <v>Medium</v>
      </c>
      <c r="Q426" s="10">
        <f>Fact_Table[[#This Row],[Capacity_BPD]]/Fact_Table[[#This Row],[Average_Salary_AED]]</f>
        <v>103.96493957161661</v>
      </c>
      <c r="R426" s="15">
        <f>(Fact_Table[[#This Row],[Petrol_Output_BPD]]/Fact_Table[[#This Row],[Capacity_BPD]])</f>
        <v>0.43206592736250266</v>
      </c>
      <c r="S426" s="15">
        <f>Fact_Table[[#This Row],[Diesel_Output_BPD]]/Fact_Table[[#This Row],[Capacity_BPD]]</f>
        <v>0.45175320975789418</v>
      </c>
      <c r="T426" s="15">
        <f>Fact_Table[[#This Row],[Gas_Output_BPD]]/Fact_Table[[#This Row],[Capacity_BPD]]</f>
        <v>0.11617971191307901</v>
      </c>
      <c r="U426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26" s="8">
        <f ca="1">YEAR(TODAY())-Fact_Table[[#This Row],[Commissioned_Year]]</f>
        <v>43</v>
      </c>
      <c r="W426" s="40" cm="1">
        <f t="array" ref="W426">_xlfn.XLOOKUP(Fact_Table[[#This Row],[Commissioned_Year]],cost_table[[#All],[Year]],cost_table[[#All],[Average_Crude_Price_USD_per_Barrel]],"0")</f>
        <v>32.799999999999997</v>
      </c>
      <c r="X426" s="40">
        <f>Fact_Table[[#This Row],[Capacity_BPD]]*Fact_Table[[#This Row],[cost per barrel]]</f>
        <v>28497787.999999996</v>
      </c>
    </row>
    <row r="427" spans="1:24" x14ac:dyDescent="0.35">
      <c r="A427" t="s">
        <v>36</v>
      </c>
      <c r="B427" t="s">
        <v>32</v>
      </c>
      <c r="C427" t="s">
        <v>50</v>
      </c>
      <c r="D427" s="5">
        <v>566494</v>
      </c>
      <c r="E427" s="5">
        <v>1983</v>
      </c>
      <c r="F427" s="5">
        <v>2338</v>
      </c>
      <c r="G427" s="3" t="s">
        <v>21</v>
      </c>
      <c r="H427" s="4">
        <v>24.47</v>
      </c>
      <c r="I427" s="4">
        <v>9.5</v>
      </c>
      <c r="J427" s="5">
        <v>191330</v>
      </c>
      <c r="K427" s="5">
        <v>245920</v>
      </c>
      <c r="L427" s="5">
        <v>129243</v>
      </c>
      <c r="M427" s="3" t="s">
        <v>34</v>
      </c>
      <c r="N427" s="10">
        <v>8287</v>
      </c>
      <c r="O427" s="12">
        <f>(Fact_Table[[#This Row],[Petrol_Output_BPD]]+Fact_Table[[#This Row],[Diesel_Output_BPD]]+Fact_Table[[#This Row],[Gas_Output_BPD]])/Fact_Table[[#This Row],[No_of_Employees]]</f>
        <v>242.29811804961506</v>
      </c>
      <c r="P427" s="2" t="str">
        <f>IF(Fact_Table[[#This Row],[0/P Producyivity/Day]]&gt;=1000,"High",IF(Fact_Table[[#This Row],[0/P Producyivity/Day]]&gt;=500,"Medium","Low"))</f>
        <v>Low</v>
      </c>
      <c r="Q427" s="10">
        <f>Fact_Table[[#This Row],[Capacity_BPD]]/Fact_Table[[#This Row],[Average_Salary_AED]]</f>
        <v>68.359358030650412</v>
      </c>
      <c r="R427" s="15">
        <f>(Fact_Table[[#This Row],[Petrol_Output_BPD]]/Fact_Table[[#This Row],[Capacity_BPD]])</f>
        <v>0.33774408908126125</v>
      </c>
      <c r="S427" s="15">
        <f>Fact_Table[[#This Row],[Diesel_Output_BPD]]/Fact_Table[[#This Row],[Capacity_BPD]]</f>
        <v>0.43410874607674571</v>
      </c>
      <c r="T427" s="15">
        <f>Fact_Table[[#This Row],[Gas_Output_BPD]]/Fact_Table[[#This Row],[Capacity_BPD]]</f>
        <v>0.22814539959823052</v>
      </c>
      <c r="U427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27" s="8">
        <f ca="1">YEAR(TODAY())-Fact_Table[[#This Row],[Commissioned_Year]]</f>
        <v>42</v>
      </c>
      <c r="W427" s="40" cm="1">
        <f t="array" ref="W427">_xlfn.XLOOKUP(Fact_Table[[#This Row],[Commissioned_Year]],cost_table[[#All],[Year]],cost_table[[#All],[Average_Crude_Price_USD_per_Barrel]],"0")</f>
        <v>29</v>
      </c>
      <c r="X427" s="40">
        <f>Fact_Table[[#This Row],[Capacity_BPD]]*Fact_Table[[#This Row],[cost per barrel]]</f>
        <v>16428326</v>
      </c>
    </row>
    <row r="428" spans="1:24" x14ac:dyDescent="0.35">
      <c r="A428" t="s">
        <v>36</v>
      </c>
      <c r="B428" t="s">
        <v>41</v>
      </c>
      <c r="C428" t="s">
        <v>50</v>
      </c>
      <c r="D428" s="5">
        <v>679903</v>
      </c>
      <c r="E428" s="5">
        <v>1999</v>
      </c>
      <c r="F428" s="5">
        <v>1982</v>
      </c>
      <c r="G428" s="3" t="s">
        <v>28</v>
      </c>
      <c r="H428" s="4">
        <v>27.12</v>
      </c>
      <c r="I428" s="4">
        <v>8.51</v>
      </c>
      <c r="J428" s="5">
        <v>187017</v>
      </c>
      <c r="K428" s="5">
        <v>335160</v>
      </c>
      <c r="L428" s="5">
        <v>157724</v>
      </c>
      <c r="M428" s="3" t="s">
        <v>17</v>
      </c>
      <c r="N428" s="10">
        <v>20678</v>
      </c>
      <c r="O428" s="12">
        <f>(Fact_Table[[#This Row],[Petrol_Output_BPD]]+Fact_Table[[#This Row],[Diesel_Output_BPD]]+Fact_Table[[#This Row],[Gas_Output_BPD]])/Fact_Table[[#This Row],[No_of_Employees]]</f>
        <v>343.03784056508579</v>
      </c>
      <c r="P428" s="2" t="str">
        <f>IF(Fact_Table[[#This Row],[0/P Producyivity/Day]]&gt;=1000,"High",IF(Fact_Table[[#This Row],[0/P Producyivity/Day]]&gt;=500,"Medium","Low"))</f>
        <v>Low</v>
      </c>
      <c r="Q428" s="10">
        <f>Fact_Table[[#This Row],[Capacity_BPD]]/Fact_Table[[#This Row],[Average_Salary_AED]]</f>
        <v>32.880501015572108</v>
      </c>
      <c r="R428" s="15">
        <f>(Fact_Table[[#This Row],[Petrol_Output_BPD]]/Fact_Table[[#This Row],[Capacity_BPD]])</f>
        <v>0.27506423710441047</v>
      </c>
      <c r="S428" s="15">
        <f>Fact_Table[[#This Row],[Diesel_Output_BPD]]/Fact_Table[[#This Row],[Capacity_BPD]]</f>
        <v>0.49295267118986091</v>
      </c>
      <c r="T428" s="15">
        <f>Fact_Table[[#This Row],[Gas_Output_BPD]]/Fact_Table[[#This Row],[Capacity_BPD]]</f>
        <v>0.23198015010964798</v>
      </c>
      <c r="U428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28" s="8">
        <f ca="1">YEAR(TODAY())-Fact_Table[[#This Row],[Commissioned_Year]]</f>
        <v>26</v>
      </c>
      <c r="W428" s="40" cm="1">
        <f t="array" ref="W428">_xlfn.XLOOKUP(Fact_Table[[#This Row],[Commissioned_Year]],cost_table[[#All],[Year]],cost_table[[#All],[Average_Crude_Price_USD_per_Barrel]],"0")</f>
        <v>17</v>
      </c>
      <c r="X428" s="40">
        <f>Fact_Table[[#This Row],[Capacity_BPD]]*Fact_Table[[#This Row],[cost per barrel]]</f>
        <v>11558351</v>
      </c>
    </row>
    <row r="429" spans="1:24" x14ac:dyDescent="0.35">
      <c r="A429" t="s">
        <v>24</v>
      </c>
      <c r="B429" t="s">
        <v>25</v>
      </c>
      <c r="C429" t="s">
        <v>48</v>
      </c>
      <c r="D429" s="5">
        <v>311056</v>
      </c>
      <c r="E429" s="5">
        <v>2019</v>
      </c>
      <c r="F429" s="5">
        <v>1689</v>
      </c>
      <c r="G429" s="3" t="s">
        <v>16</v>
      </c>
      <c r="H429" s="4">
        <v>27.17</v>
      </c>
      <c r="I429" s="4">
        <v>5.6</v>
      </c>
      <c r="J429" s="5">
        <v>92765</v>
      </c>
      <c r="K429" s="5">
        <v>180789</v>
      </c>
      <c r="L429" s="5">
        <v>37500</v>
      </c>
      <c r="M429" s="3" t="s">
        <v>34</v>
      </c>
      <c r="N429" s="10">
        <v>18149</v>
      </c>
      <c r="O429" s="12">
        <f>(Fact_Table[[#This Row],[Petrol_Output_BPD]]+Fact_Table[[#This Row],[Diesel_Output_BPD]]+Fact_Table[[#This Row],[Gas_Output_BPD]])/Fact_Table[[#This Row],[No_of_Employees]]</f>
        <v>184.16459443457668</v>
      </c>
      <c r="P429" s="2" t="str">
        <f>IF(Fact_Table[[#This Row],[0/P Producyivity/Day]]&gt;=1000,"High",IF(Fact_Table[[#This Row],[0/P Producyivity/Day]]&gt;=500,"Medium","Low"))</f>
        <v>Low</v>
      </c>
      <c r="Q429" s="10">
        <f>Fact_Table[[#This Row],[Capacity_BPD]]/Fact_Table[[#This Row],[Average_Salary_AED]]</f>
        <v>17.139015923742356</v>
      </c>
      <c r="R429" s="15">
        <f>(Fact_Table[[#This Row],[Petrol_Output_BPD]]/Fact_Table[[#This Row],[Capacity_BPD]])</f>
        <v>0.29822604289902782</v>
      </c>
      <c r="S429" s="15">
        <f>Fact_Table[[#This Row],[Diesel_Output_BPD]]/Fact_Table[[#This Row],[Capacity_BPD]]</f>
        <v>0.58121045728100407</v>
      </c>
      <c r="T429" s="15">
        <f>Fact_Table[[#This Row],[Gas_Output_BPD]]/Fact_Table[[#This Row],[Capacity_BPD]]</f>
        <v>0.12055707010956226</v>
      </c>
      <c r="U429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29" s="8">
        <f ca="1">YEAR(TODAY())-Fact_Table[[#This Row],[Commissioned_Year]]</f>
        <v>6</v>
      </c>
      <c r="W429" s="40" cm="1">
        <f t="array" ref="W429">_xlfn.XLOOKUP(Fact_Table[[#This Row],[Commissioned_Year]],cost_table[[#All],[Year]],cost_table[[#All],[Average_Crude_Price_USD_per_Barrel]],"0")</f>
        <v>52.3</v>
      </c>
      <c r="X429" s="40">
        <f>Fact_Table[[#This Row],[Capacity_BPD]]*Fact_Table[[#This Row],[cost per barrel]]</f>
        <v>16268228.799999999</v>
      </c>
    </row>
    <row r="430" spans="1:24" x14ac:dyDescent="0.35">
      <c r="A430" t="s">
        <v>18</v>
      </c>
      <c r="B430" t="s">
        <v>41</v>
      </c>
      <c r="C430" t="s">
        <v>15</v>
      </c>
      <c r="D430" s="5">
        <v>437141</v>
      </c>
      <c r="E430" s="5">
        <v>2007</v>
      </c>
      <c r="F430" s="5">
        <v>1772</v>
      </c>
      <c r="G430" s="3" t="s">
        <v>31</v>
      </c>
      <c r="H430" s="4">
        <v>14.62</v>
      </c>
      <c r="I430" s="4">
        <v>5.26</v>
      </c>
      <c r="J430" s="5">
        <v>159178</v>
      </c>
      <c r="K430" s="5">
        <v>172200</v>
      </c>
      <c r="L430" s="5">
        <v>105762</v>
      </c>
      <c r="M430" s="3" t="s">
        <v>38</v>
      </c>
      <c r="N430" s="10">
        <v>23546</v>
      </c>
      <c r="O430" s="12">
        <f>(Fact_Table[[#This Row],[Petrol_Output_BPD]]+Fact_Table[[#This Row],[Diesel_Output_BPD]]+Fact_Table[[#This Row],[Gas_Output_BPD]])/Fact_Table[[#This Row],[No_of_Employees]]</f>
        <v>246.69300225733633</v>
      </c>
      <c r="P430" s="2" t="str">
        <f>IF(Fact_Table[[#This Row],[0/P Producyivity/Day]]&gt;=1000,"High",IF(Fact_Table[[#This Row],[0/P Producyivity/Day]]&gt;=500,"Medium","Low"))</f>
        <v>Low</v>
      </c>
      <c r="Q430" s="10">
        <f>Fact_Table[[#This Row],[Capacity_BPD]]/Fact_Table[[#This Row],[Average_Salary_AED]]</f>
        <v>18.565403890257368</v>
      </c>
      <c r="R430" s="15">
        <f>(Fact_Table[[#This Row],[Petrol_Output_BPD]]/Fact_Table[[#This Row],[Capacity_BPD]])</f>
        <v>0.36413422671403506</v>
      </c>
      <c r="S430" s="15">
        <f>Fact_Table[[#This Row],[Diesel_Output_BPD]]/Fact_Table[[#This Row],[Capacity_BPD]]</f>
        <v>0.39392324215756475</v>
      </c>
      <c r="T430" s="15">
        <f>Fact_Table[[#This Row],[Gas_Output_BPD]]/Fact_Table[[#This Row],[Capacity_BPD]]</f>
        <v>0.24194024353698235</v>
      </c>
      <c r="U430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30" s="8">
        <f ca="1">YEAR(TODAY())-Fact_Table[[#This Row],[Commissioned_Year]]</f>
        <v>18</v>
      </c>
      <c r="W430" s="40" cm="1">
        <f t="array" ref="W430">_xlfn.XLOOKUP(Fact_Table[[#This Row],[Commissioned_Year]],cost_table[[#All],[Year]],cost_table[[#All],[Average_Crude_Price_USD_per_Barrel]],"0")</f>
        <v>24.4</v>
      </c>
      <c r="X430" s="40">
        <f>Fact_Table[[#This Row],[Capacity_BPD]]*Fact_Table[[#This Row],[cost per barrel]]</f>
        <v>10666240.399999999</v>
      </c>
    </row>
    <row r="431" spans="1:24" x14ac:dyDescent="0.35">
      <c r="A431" t="s">
        <v>18</v>
      </c>
      <c r="B431" t="s">
        <v>41</v>
      </c>
      <c r="C431" t="s">
        <v>39</v>
      </c>
      <c r="D431" s="5">
        <v>109927</v>
      </c>
      <c r="E431" s="5">
        <v>1989</v>
      </c>
      <c r="F431" s="5">
        <v>513</v>
      </c>
      <c r="G431" s="3" t="s">
        <v>21</v>
      </c>
      <c r="H431" s="4">
        <v>10.58</v>
      </c>
      <c r="I431" s="4">
        <v>6.68</v>
      </c>
      <c r="J431" s="5">
        <v>39308</v>
      </c>
      <c r="K431" s="5">
        <v>46943</v>
      </c>
      <c r="L431" s="5">
        <v>23674</v>
      </c>
      <c r="M431" s="3" t="s">
        <v>29</v>
      </c>
      <c r="N431" s="10">
        <v>15254</v>
      </c>
      <c r="O431" s="12">
        <f>(Fact_Table[[#This Row],[Petrol_Output_BPD]]+Fact_Table[[#This Row],[Diesel_Output_BPD]]+Fact_Table[[#This Row],[Gas_Output_BPD]])/Fact_Table[[#This Row],[No_of_Employees]]</f>
        <v>214.27875243664718</v>
      </c>
      <c r="P431" s="2" t="str">
        <f>IF(Fact_Table[[#This Row],[0/P Producyivity/Day]]&gt;=1000,"High",IF(Fact_Table[[#This Row],[0/P Producyivity/Day]]&gt;=500,"Medium","Low"))</f>
        <v>Low</v>
      </c>
      <c r="Q431" s="10">
        <f>Fact_Table[[#This Row],[Capacity_BPD]]/Fact_Table[[#This Row],[Average_Salary_AED]]</f>
        <v>7.2064376556968668</v>
      </c>
      <c r="R431" s="15">
        <f>(Fact_Table[[#This Row],[Petrol_Output_BPD]]/Fact_Table[[#This Row],[Capacity_BPD]])</f>
        <v>0.35758275946764673</v>
      </c>
      <c r="S431" s="15">
        <f>Fact_Table[[#This Row],[Diesel_Output_BPD]]/Fact_Table[[#This Row],[Capacity_BPD]]</f>
        <v>0.42703794336241324</v>
      </c>
      <c r="T431" s="15">
        <f>Fact_Table[[#This Row],[Gas_Output_BPD]]/Fact_Table[[#This Row],[Capacity_BPD]]</f>
        <v>0.2153611032776297</v>
      </c>
      <c r="U43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31" s="8">
        <f ca="1">YEAR(TODAY())-Fact_Table[[#This Row],[Commissioned_Year]]</f>
        <v>36</v>
      </c>
      <c r="W431" s="40" cm="1">
        <f t="array" ref="W431">_xlfn.XLOOKUP(Fact_Table[[#This Row],[Commissioned_Year]],cost_table[[#All],[Year]],cost_table[[#All],[Average_Crude_Price_USD_per_Barrel]],"0")</f>
        <v>18.2</v>
      </c>
      <c r="X431" s="40">
        <f>Fact_Table[[#This Row],[Capacity_BPD]]*Fact_Table[[#This Row],[cost per barrel]]</f>
        <v>2000671.4</v>
      </c>
    </row>
    <row r="432" spans="1:24" x14ac:dyDescent="0.35">
      <c r="A432" t="s">
        <v>18</v>
      </c>
      <c r="B432" t="s">
        <v>19</v>
      </c>
      <c r="C432" t="s">
        <v>49</v>
      </c>
      <c r="D432" s="5">
        <v>560920</v>
      </c>
      <c r="E432" s="5">
        <v>2006</v>
      </c>
      <c r="F432" s="5">
        <v>1181</v>
      </c>
      <c r="G432" s="3" t="s">
        <v>31</v>
      </c>
      <c r="H432" s="4">
        <v>34.97</v>
      </c>
      <c r="I432" s="4">
        <v>6.97</v>
      </c>
      <c r="J432" s="5">
        <v>233669</v>
      </c>
      <c r="K432" s="5">
        <v>188380</v>
      </c>
      <c r="L432" s="5">
        <v>138869</v>
      </c>
      <c r="M432" s="3" t="s">
        <v>29</v>
      </c>
      <c r="N432" s="10">
        <v>22049</v>
      </c>
      <c r="O432" s="12">
        <f>(Fact_Table[[#This Row],[Petrol_Output_BPD]]+Fact_Table[[#This Row],[Diesel_Output_BPD]]+Fact_Table[[#This Row],[Gas_Output_BPD]])/Fact_Table[[#This Row],[No_of_Employees]]</f>
        <v>474.95173581710412</v>
      </c>
      <c r="P432" s="2" t="str">
        <f>IF(Fact_Table[[#This Row],[0/P Producyivity/Day]]&gt;=1000,"High",IF(Fact_Table[[#This Row],[0/P Producyivity/Day]]&gt;=500,"Medium","Low"))</f>
        <v>Low</v>
      </c>
      <c r="Q432" s="10">
        <f>Fact_Table[[#This Row],[Capacity_BPD]]/Fact_Table[[#This Row],[Average_Salary_AED]]</f>
        <v>25.439702480838132</v>
      </c>
      <c r="R432" s="15">
        <f>(Fact_Table[[#This Row],[Petrol_Output_BPD]]/Fact_Table[[#This Row],[Capacity_BPD]])</f>
        <v>0.41658168722812522</v>
      </c>
      <c r="S432" s="15">
        <f>Fact_Table[[#This Row],[Diesel_Output_BPD]]/Fact_Table[[#This Row],[Capacity_BPD]]</f>
        <v>0.33584111816301793</v>
      </c>
      <c r="T432" s="15">
        <f>Fact_Table[[#This Row],[Gas_Output_BPD]]/Fact_Table[[#This Row],[Capacity_BPD]]</f>
        <v>0.24757362903800897</v>
      </c>
      <c r="U43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32" s="8">
        <f ca="1">YEAR(TODAY())-Fact_Table[[#This Row],[Commissioned_Year]]</f>
        <v>19</v>
      </c>
      <c r="W432" s="40" cm="1">
        <f t="array" ref="W432">_xlfn.XLOOKUP(Fact_Table[[#This Row],[Commissioned_Year]],cost_table[[#All],[Year]],cost_table[[#All],[Average_Crude_Price_USD_per_Barrel]],"0")</f>
        <v>28.8</v>
      </c>
      <c r="X432" s="40">
        <f>Fact_Table[[#This Row],[Capacity_BPD]]*Fact_Table[[#This Row],[cost per barrel]]</f>
        <v>16154496</v>
      </c>
    </row>
    <row r="433" spans="1:24" x14ac:dyDescent="0.35">
      <c r="A433" t="s">
        <v>30</v>
      </c>
      <c r="B433" t="s">
        <v>40</v>
      </c>
      <c r="C433" t="s">
        <v>15</v>
      </c>
      <c r="D433" s="5">
        <v>348788</v>
      </c>
      <c r="E433" s="5">
        <v>2021</v>
      </c>
      <c r="F433" s="5">
        <v>1074</v>
      </c>
      <c r="G433" s="3" t="s">
        <v>16</v>
      </c>
      <c r="H433" s="4">
        <v>18.29</v>
      </c>
      <c r="I433" s="4">
        <v>7.13</v>
      </c>
      <c r="J433" s="5">
        <v>126959</v>
      </c>
      <c r="K433" s="5">
        <v>144456</v>
      </c>
      <c r="L433" s="5">
        <v>77371</v>
      </c>
      <c r="M433" s="3" t="s">
        <v>34</v>
      </c>
      <c r="N433" s="10">
        <v>21324</v>
      </c>
      <c r="O433" s="12">
        <f>(Fact_Table[[#This Row],[Petrol_Output_BPD]]+Fact_Table[[#This Row],[Diesel_Output_BPD]]+Fact_Table[[#This Row],[Gas_Output_BPD]])/Fact_Table[[#This Row],[No_of_Employees]]</f>
        <v>324.75418994413405</v>
      </c>
      <c r="P433" s="2" t="str">
        <f>IF(Fact_Table[[#This Row],[0/P Producyivity/Day]]&gt;=1000,"High",IF(Fact_Table[[#This Row],[0/P Producyivity/Day]]&gt;=500,"Medium","Low"))</f>
        <v>Low</v>
      </c>
      <c r="Q433" s="10">
        <f>Fact_Table[[#This Row],[Capacity_BPD]]/Fact_Table[[#This Row],[Average_Salary_AED]]</f>
        <v>16.356593509660478</v>
      </c>
      <c r="R433" s="15">
        <f>(Fact_Table[[#This Row],[Petrol_Output_BPD]]/Fact_Table[[#This Row],[Capacity_BPD]])</f>
        <v>0.3640004816679473</v>
      </c>
      <c r="S433" s="15">
        <f>Fact_Table[[#This Row],[Diesel_Output_BPD]]/Fact_Table[[#This Row],[Capacity_BPD]]</f>
        <v>0.41416562496416159</v>
      </c>
      <c r="T433" s="15">
        <f>Fact_Table[[#This Row],[Gas_Output_BPD]]/Fact_Table[[#This Row],[Capacity_BPD]]</f>
        <v>0.22182815922566143</v>
      </c>
      <c r="U433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33" s="8">
        <f ca="1">YEAR(TODAY())-Fact_Table[[#This Row],[Commissioned_Year]]</f>
        <v>4</v>
      </c>
      <c r="W433" s="40" cm="1">
        <f t="array" ref="W433">_xlfn.XLOOKUP(Fact_Table[[#This Row],[Commissioned_Year]],cost_table[[#All],[Year]],cost_table[[#All],[Average_Crude_Price_USD_per_Barrel]],"0")</f>
        <v>54.2</v>
      </c>
      <c r="X433" s="40">
        <f>Fact_Table[[#This Row],[Capacity_BPD]]*Fact_Table[[#This Row],[cost per barrel]]</f>
        <v>18904309.600000001</v>
      </c>
    </row>
    <row r="434" spans="1:24" x14ac:dyDescent="0.35">
      <c r="A434" t="s">
        <v>35</v>
      </c>
      <c r="B434" t="s">
        <v>25</v>
      </c>
      <c r="C434" t="s">
        <v>49</v>
      </c>
      <c r="D434" s="5">
        <v>136093</v>
      </c>
      <c r="E434" s="5">
        <v>2014</v>
      </c>
      <c r="F434" s="5">
        <v>1753</v>
      </c>
      <c r="G434" s="3" t="s">
        <v>28</v>
      </c>
      <c r="H434" s="4">
        <v>31.2</v>
      </c>
      <c r="I434" s="4">
        <v>7.53</v>
      </c>
      <c r="J434" s="5">
        <v>52736</v>
      </c>
      <c r="K434" s="5">
        <v>66420</v>
      </c>
      <c r="L434" s="5">
        <v>16936</v>
      </c>
      <c r="M434" s="3" t="s">
        <v>23</v>
      </c>
      <c r="N434" s="10">
        <v>16056</v>
      </c>
      <c r="O434" s="12">
        <f>(Fact_Table[[#This Row],[Petrol_Output_BPD]]+Fact_Table[[#This Row],[Diesel_Output_BPD]]+Fact_Table[[#This Row],[Gas_Output_BPD]])/Fact_Table[[#This Row],[No_of_Employees]]</f>
        <v>77.633770678836285</v>
      </c>
      <c r="P434" s="2" t="str">
        <f>IF(Fact_Table[[#This Row],[0/P Producyivity/Day]]&gt;=1000,"High",IF(Fact_Table[[#This Row],[0/P Producyivity/Day]]&gt;=500,"Medium","Low"))</f>
        <v>Low</v>
      </c>
      <c r="Q434" s="10">
        <f>Fact_Table[[#This Row],[Capacity_BPD]]/Fact_Table[[#This Row],[Average_Salary_AED]]</f>
        <v>8.4761459890383666</v>
      </c>
      <c r="R434" s="15">
        <f>(Fact_Table[[#This Row],[Petrol_Output_BPD]]/Fact_Table[[#This Row],[Capacity_BPD]])</f>
        <v>0.3874997244531313</v>
      </c>
      <c r="S434" s="15">
        <f>Fact_Table[[#This Row],[Diesel_Output_BPD]]/Fact_Table[[#This Row],[Capacity_BPD]]</f>
        <v>0.48804861381555259</v>
      </c>
      <c r="T434" s="15">
        <f>Fact_Table[[#This Row],[Gas_Output_BPD]]/Fact_Table[[#This Row],[Capacity_BPD]]</f>
        <v>0.12444431381481781</v>
      </c>
      <c r="U434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34" s="8">
        <f ca="1">YEAR(TODAY())-Fact_Table[[#This Row],[Commissioned_Year]]</f>
        <v>11</v>
      </c>
      <c r="W434" s="40" cm="1">
        <f t="array" ref="W434">_xlfn.XLOOKUP(Fact_Table[[#This Row],[Commissioned_Year]],cost_table[[#All],[Year]],cost_table[[#All],[Average_Crude_Price_USD_per_Barrel]],"0")</f>
        <v>61.9</v>
      </c>
      <c r="X434" s="40">
        <f>Fact_Table[[#This Row],[Capacity_BPD]]*Fact_Table[[#This Row],[cost per barrel]]</f>
        <v>8424156.6999999993</v>
      </c>
    </row>
    <row r="435" spans="1:24" x14ac:dyDescent="0.35">
      <c r="A435" t="s">
        <v>18</v>
      </c>
      <c r="B435" t="s">
        <v>19</v>
      </c>
      <c r="C435" t="s">
        <v>33</v>
      </c>
      <c r="D435" s="5">
        <v>267781</v>
      </c>
      <c r="E435" s="5">
        <v>2015</v>
      </c>
      <c r="F435" s="5">
        <v>1738</v>
      </c>
      <c r="G435" s="3" t="s">
        <v>21</v>
      </c>
      <c r="H435" s="4">
        <v>30.39</v>
      </c>
      <c r="I435" s="4">
        <v>7.25</v>
      </c>
      <c r="J435" s="5">
        <v>87124</v>
      </c>
      <c r="K435" s="5">
        <v>115328</v>
      </c>
      <c r="L435" s="5">
        <v>65327</v>
      </c>
      <c r="M435" s="3" t="s">
        <v>34</v>
      </c>
      <c r="N435" s="10">
        <v>20294</v>
      </c>
      <c r="O435" s="12">
        <f>(Fact_Table[[#This Row],[Petrol_Output_BPD]]+Fact_Table[[#This Row],[Diesel_Output_BPD]]+Fact_Table[[#This Row],[Gas_Output_BPD]])/Fact_Table[[#This Row],[No_of_Employees]]</f>
        <v>154.07307249712312</v>
      </c>
      <c r="P435" s="2" t="str">
        <f>IF(Fact_Table[[#This Row],[0/P Producyivity/Day]]&gt;=1000,"High",IF(Fact_Table[[#This Row],[0/P Producyivity/Day]]&gt;=500,"Medium","Low"))</f>
        <v>Low</v>
      </c>
      <c r="Q435" s="10">
        <f>Fact_Table[[#This Row],[Capacity_BPD]]/Fact_Table[[#This Row],[Average_Salary_AED]]</f>
        <v>13.195082290332119</v>
      </c>
      <c r="R435" s="15">
        <f>(Fact_Table[[#This Row],[Petrol_Output_BPD]]/Fact_Table[[#This Row],[Capacity_BPD]])</f>
        <v>0.32535542103435272</v>
      </c>
      <c r="S435" s="15">
        <f>Fact_Table[[#This Row],[Diesel_Output_BPD]]/Fact_Table[[#This Row],[Capacity_BPD]]</f>
        <v>0.43068029471844532</v>
      </c>
      <c r="T435" s="15">
        <f>Fact_Table[[#This Row],[Gas_Output_BPD]]/Fact_Table[[#This Row],[Capacity_BPD]]</f>
        <v>0.24395681545740736</v>
      </c>
      <c r="U435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35" s="8">
        <f ca="1">YEAR(TODAY())-Fact_Table[[#This Row],[Commissioned_Year]]</f>
        <v>10</v>
      </c>
      <c r="W435" s="40" cm="1">
        <f t="array" ref="W435">_xlfn.XLOOKUP(Fact_Table[[#This Row],[Commissioned_Year]],cost_table[[#All],[Year]],cost_table[[#All],[Average_Crude_Price_USD_per_Barrel]],"0")</f>
        <v>43.7</v>
      </c>
      <c r="X435" s="40">
        <f>Fact_Table[[#This Row],[Capacity_BPD]]*Fact_Table[[#This Row],[cost per barrel]]</f>
        <v>11702029.700000001</v>
      </c>
    </row>
    <row r="436" spans="1:24" x14ac:dyDescent="0.35">
      <c r="A436" t="s">
        <v>37</v>
      </c>
      <c r="B436" t="s">
        <v>14</v>
      </c>
      <c r="C436" t="s">
        <v>46</v>
      </c>
      <c r="D436" s="5">
        <v>814092</v>
      </c>
      <c r="E436" s="5">
        <v>1983</v>
      </c>
      <c r="F436" s="5">
        <v>2125</v>
      </c>
      <c r="G436" s="3" t="s">
        <v>16</v>
      </c>
      <c r="H436" s="4">
        <v>32.96</v>
      </c>
      <c r="I436" s="4">
        <v>7.58</v>
      </c>
      <c r="J436" s="5">
        <v>280699</v>
      </c>
      <c r="K436" s="5">
        <v>362434</v>
      </c>
      <c r="L436" s="5">
        <v>170957</v>
      </c>
      <c r="M436" s="3" t="s">
        <v>23</v>
      </c>
      <c r="N436" s="10">
        <v>20484</v>
      </c>
      <c r="O436" s="12">
        <f>(Fact_Table[[#This Row],[Petrol_Output_BPD]]+Fact_Table[[#This Row],[Diesel_Output_BPD]]+Fact_Table[[#This Row],[Gas_Output_BPD]])/Fact_Table[[#This Row],[No_of_Employees]]</f>
        <v>383.10117647058826</v>
      </c>
      <c r="P436" s="2" t="str">
        <f>IF(Fact_Table[[#This Row],[0/P Producyivity/Day]]&gt;=1000,"High",IF(Fact_Table[[#This Row],[0/P Producyivity/Day]]&gt;=500,"Medium","Low"))</f>
        <v>Low</v>
      </c>
      <c r="Q436" s="10">
        <f>Fact_Table[[#This Row],[Capacity_BPD]]/Fact_Table[[#This Row],[Average_Salary_AED]]</f>
        <v>39.742823667252487</v>
      </c>
      <c r="R436" s="15">
        <f>(Fact_Table[[#This Row],[Petrol_Output_BPD]]/Fact_Table[[#This Row],[Capacity_BPD]])</f>
        <v>0.34480009630361186</v>
      </c>
      <c r="S436" s="15">
        <f>Fact_Table[[#This Row],[Diesel_Output_BPD]]/Fact_Table[[#This Row],[Capacity_BPD]]</f>
        <v>0.44520029677235495</v>
      </c>
      <c r="T436" s="15">
        <f>Fact_Table[[#This Row],[Gas_Output_BPD]]/Fact_Table[[#This Row],[Capacity_BPD]]</f>
        <v>0.20999715019924037</v>
      </c>
      <c r="U43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36" s="8">
        <f ca="1">YEAR(TODAY())-Fact_Table[[#This Row],[Commissioned_Year]]</f>
        <v>42</v>
      </c>
      <c r="W436" s="40" cm="1">
        <f t="array" ref="W436">_xlfn.XLOOKUP(Fact_Table[[#This Row],[Commissioned_Year]],cost_table[[#All],[Year]],cost_table[[#All],[Average_Crude_Price_USD_per_Barrel]],"0")</f>
        <v>29</v>
      </c>
      <c r="X436" s="40">
        <f>Fact_Table[[#This Row],[Capacity_BPD]]*Fact_Table[[#This Row],[cost per barrel]]</f>
        <v>23608668</v>
      </c>
    </row>
    <row r="437" spans="1:24" x14ac:dyDescent="0.35">
      <c r="A437" t="s">
        <v>45</v>
      </c>
      <c r="B437" t="s">
        <v>19</v>
      </c>
      <c r="C437" t="s">
        <v>50</v>
      </c>
      <c r="D437" s="5">
        <v>560982</v>
      </c>
      <c r="E437" s="5">
        <v>2000</v>
      </c>
      <c r="F437" s="5">
        <v>1014</v>
      </c>
      <c r="G437" s="3" t="s">
        <v>16</v>
      </c>
      <c r="H437" s="4">
        <v>22.03</v>
      </c>
      <c r="I437" s="4">
        <v>7.93</v>
      </c>
      <c r="J437" s="5">
        <v>229515</v>
      </c>
      <c r="K437" s="5">
        <v>209226</v>
      </c>
      <c r="L437" s="5">
        <v>122240</v>
      </c>
      <c r="M437" s="3" t="s">
        <v>23</v>
      </c>
      <c r="N437" s="10">
        <v>24957</v>
      </c>
      <c r="O437" s="12">
        <f>(Fact_Table[[#This Row],[Petrol_Output_BPD]]+Fact_Table[[#This Row],[Diesel_Output_BPD]]+Fact_Table[[#This Row],[Gas_Output_BPD]])/Fact_Table[[#This Row],[No_of_Employees]]</f>
        <v>553.23570019723866</v>
      </c>
      <c r="P437" s="2" t="str">
        <f>IF(Fact_Table[[#This Row],[0/P Producyivity/Day]]&gt;=1000,"High",IF(Fact_Table[[#This Row],[0/P Producyivity/Day]]&gt;=500,"Medium","Low"))</f>
        <v>Medium</v>
      </c>
      <c r="Q437" s="10">
        <f>Fact_Table[[#This Row],[Capacity_BPD]]/Fact_Table[[#This Row],[Average_Salary_AED]]</f>
        <v>22.477942060343793</v>
      </c>
      <c r="R437" s="15">
        <f>(Fact_Table[[#This Row],[Petrol_Output_BPD]]/Fact_Table[[#This Row],[Capacity_BPD]])</f>
        <v>0.40913077424944116</v>
      </c>
      <c r="S437" s="15">
        <f>Fact_Table[[#This Row],[Diesel_Output_BPD]]/Fact_Table[[#This Row],[Capacity_BPD]]</f>
        <v>0.37296383841192765</v>
      </c>
      <c r="T437" s="15">
        <f>Fact_Table[[#This Row],[Gas_Output_BPD]]/Fact_Table[[#This Row],[Capacity_BPD]]</f>
        <v>0.21790360475024154</v>
      </c>
      <c r="U437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37" s="8">
        <f ca="1">YEAR(TODAY())-Fact_Table[[#This Row],[Commissioned_Year]]</f>
        <v>25</v>
      </c>
      <c r="W437" s="40" cm="1">
        <f t="array" ref="W437">_xlfn.XLOOKUP(Fact_Table[[#This Row],[Commissioned_Year]],cost_table[[#All],[Year]],cost_table[[#All],[Average_Crude_Price_USD_per_Barrel]],"0")</f>
        <v>23.1</v>
      </c>
      <c r="X437" s="40">
        <f>Fact_Table[[#This Row],[Capacity_BPD]]*Fact_Table[[#This Row],[cost per barrel]]</f>
        <v>12958684.200000001</v>
      </c>
    </row>
    <row r="438" spans="1:24" x14ac:dyDescent="0.35">
      <c r="A438" t="s">
        <v>36</v>
      </c>
      <c r="B438" t="s">
        <v>32</v>
      </c>
      <c r="C438" t="s">
        <v>50</v>
      </c>
      <c r="D438" s="5">
        <v>448828</v>
      </c>
      <c r="E438" s="5">
        <v>2005</v>
      </c>
      <c r="F438" s="5">
        <v>784</v>
      </c>
      <c r="G438" s="3" t="s">
        <v>16</v>
      </c>
      <c r="H438" s="4">
        <v>27.23</v>
      </c>
      <c r="I438" s="4">
        <v>6.66</v>
      </c>
      <c r="J438" s="5">
        <v>181975</v>
      </c>
      <c r="K438" s="5">
        <v>202239</v>
      </c>
      <c r="L438" s="5">
        <v>64613</v>
      </c>
      <c r="M438" s="3" t="s">
        <v>34</v>
      </c>
      <c r="N438" s="10">
        <v>23808</v>
      </c>
      <c r="O438" s="12">
        <f>(Fact_Table[[#This Row],[Petrol_Output_BPD]]+Fact_Table[[#This Row],[Diesel_Output_BPD]]+Fact_Table[[#This Row],[Gas_Output_BPD]])/Fact_Table[[#This Row],[No_of_Employees]]</f>
        <v>572.48341836734699</v>
      </c>
      <c r="P438" s="2" t="str">
        <f>IF(Fact_Table[[#This Row],[0/P Producyivity/Day]]&gt;=1000,"High",IF(Fact_Table[[#This Row],[0/P Producyivity/Day]]&gt;=500,"Medium","Low"))</f>
        <v>Medium</v>
      </c>
      <c r="Q438" s="10">
        <f>Fact_Table[[#This Row],[Capacity_BPD]]/Fact_Table[[#This Row],[Average_Salary_AED]]</f>
        <v>18.85198252688172</v>
      </c>
      <c r="R438" s="15">
        <f>(Fact_Table[[#This Row],[Petrol_Output_BPD]]/Fact_Table[[#This Row],[Capacity_BPD]])</f>
        <v>0.40544484746940923</v>
      </c>
      <c r="S438" s="15">
        <f>Fact_Table[[#This Row],[Diesel_Output_BPD]]/Fact_Table[[#This Row],[Capacity_BPD]]</f>
        <v>0.45059354585721034</v>
      </c>
      <c r="T438" s="15">
        <f>Fact_Table[[#This Row],[Gas_Output_BPD]]/Fact_Table[[#This Row],[Capacity_BPD]]</f>
        <v>0.14395937864839092</v>
      </c>
      <c r="U43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38" s="8">
        <f ca="1">YEAR(TODAY())-Fact_Table[[#This Row],[Commissioned_Year]]</f>
        <v>20</v>
      </c>
      <c r="W438" s="40" cm="1">
        <f t="array" ref="W438">_xlfn.XLOOKUP(Fact_Table[[#This Row],[Commissioned_Year]],cost_table[[#All],[Year]],cost_table[[#All],[Average_Crude_Price_USD_per_Barrel]],"0")</f>
        <v>25</v>
      </c>
      <c r="X438" s="40">
        <f>Fact_Table[[#This Row],[Capacity_BPD]]*Fact_Table[[#This Row],[cost per barrel]]</f>
        <v>11220700</v>
      </c>
    </row>
    <row r="439" spans="1:24" x14ac:dyDescent="0.35">
      <c r="A439" t="s">
        <v>36</v>
      </c>
      <c r="B439" t="s">
        <v>14</v>
      </c>
      <c r="C439" t="s">
        <v>50</v>
      </c>
      <c r="D439" s="5">
        <v>362672</v>
      </c>
      <c r="E439" s="5">
        <v>1977</v>
      </c>
      <c r="F439" s="5">
        <v>1885</v>
      </c>
      <c r="G439" s="3" t="s">
        <v>21</v>
      </c>
      <c r="H439" s="4">
        <v>27.67</v>
      </c>
      <c r="I439" s="4">
        <v>5.29</v>
      </c>
      <c r="J439" s="5">
        <v>124735</v>
      </c>
      <c r="K439" s="5">
        <v>165984</v>
      </c>
      <c r="L439" s="5">
        <v>71951</v>
      </c>
      <c r="M439" s="3" t="s">
        <v>23</v>
      </c>
      <c r="N439" s="10">
        <v>23812</v>
      </c>
      <c r="O439" s="12">
        <f>(Fact_Table[[#This Row],[Petrol_Output_BPD]]+Fact_Table[[#This Row],[Diesel_Output_BPD]]+Fact_Table[[#This Row],[Gas_Output_BPD]])/Fact_Table[[#This Row],[No_of_Employees]]</f>
        <v>192.39787798408489</v>
      </c>
      <c r="P439" s="2" t="str">
        <f>IF(Fact_Table[[#This Row],[0/P Producyivity/Day]]&gt;=1000,"High",IF(Fact_Table[[#This Row],[0/P Producyivity/Day]]&gt;=500,"Medium","Low"))</f>
        <v>Low</v>
      </c>
      <c r="Q439" s="10">
        <f>Fact_Table[[#This Row],[Capacity_BPD]]/Fact_Table[[#This Row],[Average_Salary_AED]]</f>
        <v>15.230640013438602</v>
      </c>
      <c r="R439" s="15">
        <f>(Fact_Table[[#This Row],[Petrol_Output_BPD]]/Fact_Table[[#This Row],[Capacity_BPD]])</f>
        <v>0.3439333612740989</v>
      </c>
      <c r="S439" s="15">
        <f>Fact_Table[[#This Row],[Diesel_Output_BPD]]/Fact_Table[[#This Row],[Capacity_BPD]]</f>
        <v>0.45766974015088013</v>
      </c>
      <c r="T439" s="15">
        <f>Fact_Table[[#This Row],[Gas_Output_BPD]]/Fact_Table[[#This Row],[Capacity_BPD]]</f>
        <v>0.19839138395023603</v>
      </c>
      <c r="U439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39" s="8">
        <f ca="1">YEAR(TODAY())-Fact_Table[[#This Row],[Commissioned_Year]]</f>
        <v>48</v>
      </c>
      <c r="W439" s="40" cm="1">
        <f t="array" ref="W439">_xlfn.XLOOKUP(Fact_Table[[#This Row],[Commissioned_Year]],cost_table[[#All],[Year]],cost_table[[#All],[Average_Crude_Price_USD_per_Barrel]],"0")</f>
        <v>12.8</v>
      </c>
      <c r="X439" s="40">
        <f>Fact_Table[[#This Row],[Capacity_BPD]]*Fact_Table[[#This Row],[cost per barrel]]</f>
        <v>4642201.6000000006</v>
      </c>
    </row>
    <row r="440" spans="1:24" x14ac:dyDescent="0.35">
      <c r="A440" t="s">
        <v>45</v>
      </c>
      <c r="B440" t="s">
        <v>19</v>
      </c>
      <c r="C440" t="s">
        <v>33</v>
      </c>
      <c r="D440" s="5">
        <v>352200</v>
      </c>
      <c r="E440" s="5">
        <v>2002</v>
      </c>
      <c r="F440" s="5">
        <v>791</v>
      </c>
      <c r="G440" s="3" t="s">
        <v>28</v>
      </c>
      <c r="H440" s="4">
        <v>11.32</v>
      </c>
      <c r="I440" s="4">
        <v>5.45</v>
      </c>
      <c r="J440" s="5">
        <v>162713</v>
      </c>
      <c r="K440" s="5">
        <v>112726</v>
      </c>
      <c r="L440" s="5">
        <v>76760</v>
      </c>
      <c r="M440" s="3" t="s">
        <v>38</v>
      </c>
      <c r="N440" s="10">
        <v>24855</v>
      </c>
      <c r="O440" s="12">
        <f>(Fact_Table[[#This Row],[Petrol_Output_BPD]]+Fact_Table[[#This Row],[Diesel_Output_BPD]]+Fact_Table[[#This Row],[Gas_Output_BPD]])/Fact_Table[[#This Row],[No_of_Employees]]</f>
        <v>445.25790139064475</v>
      </c>
      <c r="P440" s="2" t="str">
        <f>IF(Fact_Table[[#This Row],[0/P Producyivity/Day]]&gt;=1000,"High",IF(Fact_Table[[#This Row],[0/P Producyivity/Day]]&gt;=500,"Medium","Low"))</f>
        <v>Low</v>
      </c>
      <c r="Q440" s="10">
        <f>Fact_Table[[#This Row],[Capacity_BPD]]/Fact_Table[[#This Row],[Average_Salary_AED]]</f>
        <v>14.170187085093543</v>
      </c>
      <c r="R440" s="15">
        <f>(Fact_Table[[#This Row],[Petrol_Output_BPD]]/Fact_Table[[#This Row],[Capacity_BPD]])</f>
        <v>0.46199034639409425</v>
      </c>
      <c r="S440" s="15">
        <f>Fact_Table[[#This Row],[Diesel_Output_BPD]]/Fact_Table[[#This Row],[Capacity_BPD]]</f>
        <v>0.32006246450880182</v>
      </c>
      <c r="T440" s="15">
        <f>Fact_Table[[#This Row],[Gas_Output_BPD]]/Fact_Table[[#This Row],[Capacity_BPD]]</f>
        <v>0.2179443498012493</v>
      </c>
      <c r="U440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40" s="8">
        <f ca="1">YEAR(TODAY())-Fact_Table[[#This Row],[Commissioned_Year]]</f>
        <v>23</v>
      </c>
      <c r="W440" s="40" cm="1">
        <f t="array" ref="W440">_xlfn.XLOOKUP(Fact_Table[[#This Row],[Commissioned_Year]],cost_table[[#All],[Year]],cost_table[[#All],[Average_Crude_Price_USD_per_Barrel]],"0")</f>
        <v>24.4</v>
      </c>
      <c r="X440" s="40">
        <f>Fact_Table[[#This Row],[Capacity_BPD]]*Fact_Table[[#This Row],[cost per barrel]]</f>
        <v>8593680</v>
      </c>
    </row>
    <row r="441" spans="1:24" x14ac:dyDescent="0.35">
      <c r="A441" t="s">
        <v>45</v>
      </c>
      <c r="B441" t="s">
        <v>26</v>
      </c>
      <c r="C441" t="s">
        <v>20</v>
      </c>
      <c r="D441" s="5">
        <v>260568</v>
      </c>
      <c r="E441" s="5">
        <v>1992</v>
      </c>
      <c r="F441" s="5">
        <v>415</v>
      </c>
      <c r="G441" s="3" t="s">
        <v>21</v>
      </c>
      <c r="H441" s="4">
        <v>22.77</v>
      </c>
      <c r="I441" s="4">
        <v>6.39</v>
      </c>
      <c r="J441" s="5">
        <v>94144</v>
      </c>
      <c r="K441" s="5">
        <v>102015</v>
      </c>
      <c r="L441" s="5">
        <v>64407</v>
      </c>
      <c r="M441" s="3" t="s">
        <v>17</v>
      </c>
      <c r="N441" s="10">
        <v>23933</v>
      </c>
      <c r="O441" s="12">
        <f>(Fact_Table[[#This Row],[Petrol_Output_BPD]]+Fact_Table[[#This Row],[Diesel_Output_BPD]]+Fact_Table[[#This Row],[Gas_Output_BPD]])/Fact_Table[[#This Row],[No_of_Employees]]</f>
        <v>627.86987951807225</v>
      </c>
      <c r="P441" s="2" t="str">
        <f>IF(Fact_Table[[#This Row],[0/P Producyivity/Day]]&gt;=1000,"High",IF(Fact_Table[[#This Row],[0/P Producyivity/Day]]&gt;=500,"Medium","Low"))</f>
        <v>Medium</v>
      </c>
      <c r="Q441" s="10">
        <f>Fact_Table[[#This Row],[Capacity_BPD]]/Fact_Table[[#This Row],[Average_Salary_AED]]</f>
        <v>10.887393974846447</v>
      </c>
      <c r="R441" s="15">
        <f>(Fact_Table[[#This Row],[Petrol_Output_BPD]]/Fact_Table[[#This Row],[Capacity_BPD]])</f>
        <v>0.36130299960087192</v>
      </c>
      <c r="S441" s="15">
        <f>Fact_Table[[#This Row],[Diesel_Output_BPD]]/Fact_Table[[#This Row],[Capacity_BPD]]</f>
        <v>0.39151008565902184</v>
      </c>
      <c r="T441" s="15">
        <f>Fact_Table[[#This Row],[Gas_Output_BPD]]/Fact_Table[[#This Row],[Capacity_BPD]]</f>
        <v>0.24717923920051579</v>
      </c>
      <c r="U44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41" s="8">
        <f ca="1">YEAR(TODAY())-Fact_Table[[#This Row],[Commissioned_Year]]</f>
        <v>33</v>
      </c>
      <c r="W441" s="40" cm="1">
        <f t="array" ref="W441">_xlfn.XLOOKUP(Fact_Table[[#This Row],[Commissioned_Year]],cost_table[[#All],[Year]],cost_table[[#All],[Average_Crude_Price_USD_per_Barrel]],"0")</f>
        <v>14.4</v>
      </c>
      <c r="X441" s="40">
        <f>Fact_Table[[#This Row],[Capacity_BPD]]*Fact_Table[[#This Row],[cost per barrel]]</f>
        <v>3752179.2</v>
      </c>
    </row>
    <row r="442" spans="1:24" x14ac:dyDescent="0.35">
      <c r="A442" t="s">
        <v>30</v>
      </c>
      <c r="B442" t="s">
        <v>25</v>
      </c>
      <c r="C442" t="s">
        <v>48</v>
      </c>
      <c r="D442" s="5">
        <v>834737</v>
      </c>
      <c r="E442" s="5">
        <v>2020</v>
      </c>
      <c r="F442" s="5">
        <v>1039</v>
      </c>
      <c r="G442" s="3" t="s">
        <v>21</v>
      </c>
      <c r="H442" s="4">
        <v>14.29</v>
      </c>
      <c r="I442" s="4">
        <v>9.77</v>
      </c>
      <c r="J442" s="5">
        <v>224077</v>
      </c>
      <c r="K442" s="5">
        <v>406373</v>
      </c>
      <c r="L442" s="5">
        <v>204286</v>
      </c>
      <c r="M442" s="3" t="s">
        <v>23</v>
      </c>
      <c r="N442" s="10">
        <v>10800</v>
      </c>
      <c r="O442" s="12">
        <f>(Fact_Table[[#This Row],[Petrol_Output_BPD]]+Fact_Table[[#This Row],[Diesel_Output_BPD]]+Fact_Table[[#This Row],[Gas_Output_BPD]])/Fact_Table[[#This Row],[No_of_Employees]]</f>
        <v>803.40327237728582</v>
      </c>
      <c r="P442" s="2" t="str">
        <f>IF(Fact_Table[[#This Row],[0/P Producyivity/Day]]&gt;=1000,"High",IF(Fact_Table[[#This Row],[0/P Producyivity/Day]]&gt;=500,"Medium","Low"))</f>
        <v>Medium</v>
      </c>
      <c r="Q442" s="10">
        <f>Fact_Table[[#This Row],[Capacity_BPD]]/Fact_Table[[#This Row],[Average_Salary_AED]]</f>
        <v>77.290462962962962</v>
      </c>
      <c r="R442" s="15">
        <f>(Fact_Table[[#This Row],[Petrol_Output_BPD]]/Fact_Table[[#This Row],[Capacity_BPD]])</f>
        <v>0.26844023926098881</v>
      </c>
      <c r="S442" s="15">
        <f>Fact_Table[[#This Row],[Diesel_Output_BPD]]/Fact_Table[[#This Row],[Capacity_BPD]]</f>
        <v>0.4868275876114273</v>
      </c>
      <c r="T442" s="15">
        <f>Fact_Table[[#This Row],[Gas_Output_BPD]]/Fact_Table[[#This Row],[Capacity_BPD]]</f>
        <v>0.24473097514546499</v>
      </c>
      <c r="U442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42" s="8">
        <f ca="1">YEAR(TODAY())-Fact_Table[[#This Row],[Commissioned_Year]]</f>
        <v>5</v>
      </c>
      <c r="W442" s="40" cm="1">
        <f t="array" ref="W442">_xlfn.XLOOKUP(Fact_Table[[#This Row],[Commissioned_Year]],cost_table[[#All],[Year]],cost_table[[#All],[Average_Crude_Price_USD_per_Barrel]],"0")</f>
        <v>43.7</v>
      </c>
      <c r="X442" s="40">
        <f>Fact_Table[[#This Row],[Capacity_BPD]]*Fact_Table[[#This Row],[cost per barrel]]</f>
        <v>36478006.900000006</v>
      </c>
    </row>
    <row r="443" spans="1:24" x14ac:dyDescent="0.35">
      <c r="A443" t="s">
        <v>45</v>
      </c>
      <c r="B443" t="s">
        <v>26</v>
      </c>
      <c r="C443" t="s">
        <v>46</v>
      </c>
      <c r="D443" s="5">
        <v>625078</v>
      </c>
      <c r="E443" s="5">
        <v>1996</v>
      </c>
      <c r="F443" s="5">
        <v>1690</v>
      </c>
      <c r="G443" s="3" t="s">
        <v>31</v>
      </c>
      <c r="H443" s="4">
        <v>4.29</v>
      </c>
      <c r="I443" s="4">
        <v>6.66</v>
      </c>
      <c r="J443" s="5">
        <v>195457</v>
      </c>
      <c r="K443" s="5">
        <v>299059</v>
      </c>
      <c r="L443" s="5">
        <v>130561</v>
      </c>
      <c r="M443" s="3" t="s">
        <v>17</v>
      </c>
      <c r="N443" s="10">
        <v>23103</v>
      </c>
      <c r="O443" s="12">
        <f>(Fact_Table[[#This Row],[Petrol_Output_BPD]]+Fact_Table[[#This Row],[Diesel_Output_BPD]]+Fact_Table[[#This Row],[Gas_Output_BPD]])/Fact_Table[[#This Row],[No_of_Employees]]</f>
        <v>369.86804733727809</v>
      </c>
      <c r="P443" s="2" t="str">
        <f>IF(Fact_Table[[#This Row],[0/P Producyivity/Day]]&gt;=1000,"High",IF(Fact_Table[[#This Row],[0/P Producyivity/Day]]&gt;=500,"Medium","Low"))</f>
        <v>Low</v>
      </c>
      <c r="Q443" s="10">
        <f>Fact_Table[[#This Row],[Capacity_BPD]]/Fact_Table[[#This Row],[Average_Salary_AED]]</f>
        <v>27.0561398952517</v>
      </c>
      <c r="R443" s="15">
        <f>(Fact_Table[[#This Row],[Petrol_Output_BPD]]/Fact_Table[[#This Row],[Capacity_BPD]])</f>
        <v>0.31269217601643318</v>
      </c>
      <c r="S443" s="15">
        <f>Fact_Table[[#This Row],[Diesel_Output_BPD]]/Fact_Table[[#This Row],[Capacity_BPD]]</f>
        <v>0.47843469135051947</v>
      </c>
      <c r="T443" s="15">
        <f>Fact_Table[[#This Row],[Gas_Output_BPD]]/Fact_Table[[#This Row],[Capacity_BPD]]</f>
        <v>0.20887153283270249</v>
      </c>
      <c r="U443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43" s="8">
        <f ca="1">YEAR(TODAY())-Fact_Table[[#This Row],[Commissioned_Year]]</f>
        <v>29</v>
      </c>
      <c r="W443" s="40" cm="1">
        <f t="array" ref="W443">_xlfn.XLOOKUP(Fact_Table[[#This Row],[Commissioned_Year]],cost_table[[#All],[Year]],cost_table[[#All],[Average_Crude_Price_USD_per_Barrel]],"0")</f>
        <v>18</v>
      </c>
      <c r="X443" s="40">
        <f>Fact_Table[[#This Row],[Capacity_BPD]]*Fact_Table[[#This Row],[cost per barrel]]</f>
        <v>11251404</v>
      </c>
    </row>
    <row r="444" spans="1:24" x14ac:dyDescent="0.35">
      <c r="A444" t="s">
        <v>60</v>
      </c>
      <c r="B444" t="s">
        <v>41</v>
      </c>
      <c r="C444" t="s">
        <v>46</v>
      </c>
      <c r="D444" s="5">
        <v>678282</v>
      </c>
      <c r="E444" s="5">
        <v>1995</v>
      </c>
      <c r="F444" s="5">
        <v>550</v>
      </c>
      <c r="G444" s="3" t="s">
        <v>16</v>
      </c>
      <c r="H444" s="4">
        <v>2.71</v>
      </c>
      <c r="I444" s="4">
        <v>8.16</v>
      </c>
      <c r="J444" s="5">
        <v>283325</v>
      </c>
      <c r="K444" s="5">
        <v>227629</v>
      </c>
      <c r="L444" s="5">
        <v>167326</v>
      </c>
      <c r="M444" s="3" t="s">
        <v>34</v>
      </c>
      <c r="N444" s="10">
        <v>11134</v>
      </c>
      <c r="O444" s="12">
        <f>(Fact_Table[[#This Row],[Petrol_Output_BPD]]+Fact_Table[[#This Row],[Diesel_Output_BPD]]+Fact_Table[[#This Row],[Gas_Output_BPD]])/Fact_Table[[#This Row],[No_of_Employees]]</f>
        <v>1233.2363636363636</v>
      </c>
      <c r="P444" s="2" t="str">
        <f>IF(Fact_Table[[#This Row],[0/P Producyivity/Day]]&gt;=1000,"High",IF(Fact_Table[[#This Row],[0/P Producyivity/Day]]&gt;=500,"Medium","Low"))</f>
        <v>High</v>
      </c>
      <c r="Q444" s="10">
        <f>Fact_Table[[#This Row],[Capacity_BPD]]/Fact_Table[[#This Row],[Average_Salary_AED]]</f>
        <v>60.919885036824141</v>
      </c>
      <c r="R444" s="15">
        <f>(Fact_Table[[#This Row],[Petrol_Output_BPD]]/Fact_Table[[#This Row],[Capacity_BPD]])</f>
        <v>0.4177097431451815</v>
      </c>
      <c r="S444" s="15">
        <f>Fact_Table[[#This Row],[Diesel_Output_BPD]]/Fact_Table[[#This Row],[Capacity_BPD]]</f>
        <v>0.33559640385562345</v>
      </c>
      <c r="T444" s="15">
        <f>Fact_Table[[#This Row],[Gas_Output_BPD]]/Fact_Table[[#This Row],[Capacity_BPD]]</f>
        <v>0.24669090437310734</v>
      </c>
      <c r="U444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44" s="8">
        <f ca="1">YEAR(TODAY())-Fact_Table[[#This Row],[Commissioned_Year]]</f>
        <v>30</v>
      </c>
      <c r="W444" s="40" cm="1">
        <f t="array" ref="W444">_xlfn.XLOOKUP(Fact_Table[[#This Row],[Commissioned_Year]],cost_table[[#All],[Year]],cost_table[[#All],[Average_Crude_Price_USD_per_Barrel]],"0")</f>
        <v>20.100000000000001</v>
      </c>
      <c r="X444" s="40">
        <f>Fact_Table[[#This Row],[Capacity_BPD]]*Fact_Table[[#This Row],[cost per barrel]]</f>
        <v>13633468.200000001</v>
      </c>
    </row>
    <row r="445" spans="1:24" x14ac:dyDescent="0.35">
      <c r="A445" t="s">
        <v>36</v>
      </c>
      <c r="B445" t="s">
        <v>40</v>
      </c>
      <c r="C445" t="s">
        <v>47</v>
      </c>
      <c r="D445" s="5">
        <v>584024</v>
      </c>
      <c r="E445" s="5">
        <v>1976</v>
      </c>
      <c r="F445" s="5">
        <v>2275</v>
      </c>
      <c r="G445" s="3" t="s">
        <v>28</v>
      </c>
      <c r="H445" s="4">
        <v>6.76</v>
      </c>
      <c r="I445" s="4">
        <v>7.36</v>
      </c>
      <c r="J445" s="5">
        <v>225288</v>
      </c>
      <c r="K445" s="5">
        <v>203477</v>
      </c>
      <c r="L445" s="5">
        <v>155257</v>
      </c>
      <c r="M445" s="3" t="s">
        <v>34</v>
      </c>
      <c r="N445" s="10">
        <v>9634</v>
      </c>
      <c r="O445" s="12">
        <f>(Fact_Table[[#This Row],[Petrol_Output_BPD]]+Fact_Table[[#This Row],[Diesel_Output_BPD]]+Fact_Table[[#This Row],[Gas_Output_BPD]])/Fact_Table[[#This Row],[No_of_Employees]]</f>
        <v>256.71296703296701</v>
      </c>
      <c r="P445" s="2" t="str">
        <f>IF(Fact_Table[[#This Row],[0/P Producyivity/Day]]&gt;=1000,"High",IF(Fact_Table[[#This Row],[0/P Producyivity/Day]]&gt;=500,"Medium","Low"))</f>
        <v>Low</v>
      </c>
      <c r="Q445" s="10">
        <f>Fact_Table[[#This Row],[Capacity_BPD]]/Fact_Table[[#This Row],[Average_Salary_AED]]</f>
        <v>60.621133485571931</v>
      </c>
      <c r="R445" s="15">
        <f>(Fact_Table[[#This Row],[Petrol_Output_BPD]]/Fact_Table[[#This Row],[Capacity_BPD]])</f>
        <v>0.38575127049573305</v>
      </c>
      <c r="S445" s="15">
        <f>Fact_Table[[#This Row],[Diesel_Output_BPD]]/Fact_Table[[#This Row],[Capacity_BPD]]</f>
        <v>0.34840520252592361</v>
      </c>
      <c r="T445" s="15">
        <f>Fact_Table[[#This Row],[Gas_Output_BPD]]/Fact_Table[[#This Row],[Capacity_BPD]]</f>
        <v>0.26584010246154266</v>
      </c>
      <c r="U445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45" s="8">
        <f ca="1">YEAR(TODAY())-Fact_Table[[#This Row],[Commissioned_Year]]</f>
        <v>49</v>
      </c>
      <c r="W445" s="40" cm="1">
        <f t="array" ref="W445">_xlfn.XLOOKUP(Fact_Table[[#This Row],[Commissioned_Year]],cost_table[[#All],[Year]],cost_table[[#All],[Average_Crude_Price_USD_per_Barrel]],"0")</f>
        <v>11.2</v>
      </c>
      <c r="X445" s="40">
        <f>Fact_Table[[#This Row],[Capacity_BPD]]*Fact_Table[[#This Row],[cost per barrel]]</f>
        <v>6541068.7999999998</v>
      </c>
    </row>
    <row r="446" spans="1:24" x14ac:dyDescent="0.35">
      <c r="A446" t="s">
        <v>24</v>
      </c>
      <c r="B446" t="s">
        <v>25</v>
      </c>
      <c r="C446" t="s">
        <v>15</v>
      </c>
      <c r="D446" s="5">
        <v>759780</v>
      </c>
      <c r="E446" s="5">
        <v>1987</v>
      </c>
      <c r="F446" s="5">
        <v>2170</v>
      </c>
      <c r="G446" s="3" t="s">
        <v>28</v>
      </c>
      <c r="H446" s="4">
        <v>33.26</v>
      </c>
      <c r="I446" s="4">
        <v>9.74</v>
      </c>
      <c r="J446" s="5">
        <v>240960</v>
      </c>
      <c r="K446" s="5">
        <v>302836</v>
      </c>
      <c r="L446" s="5">
        <v>215983</v>
      </c>
      <c r="M446" s="3" t="s">
        <v>29</v>
      </c>
      <c r="N446" s="10">
        <v>24898</v>
      </c>
      <c r="O446" s="12">
        <f>(Fact_Table[[#This Row],[Petrol_Output_BPD]]+Fact_Table[[#This Row],[Diesel_Output_BPD]]+Fact_Table[[#This Row],[Gas_Output_BPD]])/Fact_Table[[#This Row],[No_of_Employees]]</f>
        <v>350.12857142857143</v>
      </c>
      <c r="P446" s="2" t="str">
        <f>IF(Fact_Table[[#This Row],[0/P Producyivity/Day]]&gt;=1000,"High",IF(Fact_Table[[#This Row],[0/P Producyivity/Day]]&gt;=500,"Medium","Low"))</f>
        <v>Low</v>
      </c>
      <c r="Q446" s="10">
        <f>Fact_Table[[#This Row],[Capacity_BPD]]/Fact_Table[[#This Row],[Average_Salary_AED]]</f>
        <v>30.515704072616273</v>
      </c>
      <c r="R446" s="15">
        <f>(Fact_Table[[#This Row],[Petrol_Output_BPD]]/Fact_Table[[#This Row],[Capacity_BPD]])</f>
        <v>0.31714443654742164</v>
      </c>
      <c r="S446" s="15">
        <f>Fact_Table[[#This Row],[Diesel_Output_BPD]]/Fact_Table[[#This Row],[Capacity_BPD]]</f>
        <v>0.39858380057385034</v>
      </c>
      <c r="T446" s="15">
        <f>Fact_Table[[#This Row],[Gas_Output_BPD]]/Fact_Table[[#This Row],[Capacity_BPD]]</f>
        <v>0.28427044670825763</v>
      </c>
      <c r="U446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46" s="8">
        <f ca="1">YEAR(TODAY())-Fact_Table[[#This Row],[Commissioned_Year]]</f>
        <v>38</v>
      </c>
      <c r="W446" s="40" cm="1">
        <f t="array" ref="W446">_xlfn.XLOOKUP(Fact_Table[[#This Row],[Commissioned_Year]],cost_table[[#All],[Year]],cost_table[[#All],[Average_Crude_Price_USD_per_Barrel]],"0")</f>
        <v>18.399999999999999</v>
      </c>
      <c r="X446" s="40">
        <f>Fact_Table[[#This Row],[Capacity_BPD]]*Fact_Table[[#This Row],[cost per barrel]]</f>
        <v>13979951.999999998</v>
      </c>
    </row>
    <row r="447" spans="1:24" x14ac:dyDescent="0.35">
      <c r="A447" t="s">
        <v>60</v>
      </c>
      <c r="B447" t="s">
        <v>41</v>
      </c>
      <c r="C447" t="s">
        <v>51</v>
      </c>
      <c r="D447" s="5">
        <v>458249</v>
      </c>
      <c r="E447" s="5">
        <v>2007</v>
      </c>
      <c r="F447" s="5">
        <v>983</v>
      </c>
      <c r="G447" s="3" t="s">
        <v>31</v>
      </c>
      <c r="H447" s="4">
        <v>4.3600000000000003</v>
      </c>
      <c r="I447" s="4">
        <v>8.2899999999999991</v>
      </c>
      <c r="J447" s="5">
        <v>187084</v>
      </c>
      <c r="K447" s="5">
        <v>203168</v>
      </c>
      <c r="L447" s="5">
        <v>67996</v>
      </c>
      <c r="M447" s="3" t="s">
        <v>34</v>
      </c>
      <c r="N447" s="10">
        <v>8286</v>
      </c>
      <c r="O447" s="12">
        <f>(Fact_Table[[#This Row],[Petrol_Output_BPD]]+Fact_Table[[#This Row],[Diesel_Output_BPD]]+Fact_Table[[#This Row],[Gas_Output_BPD]])/Fact_Table[[#This Row],[No_of_Employees]]</f>
        <v>466.17293997965413</v>
      </c>
      <c r="P447" s="2" t="str">
        <f>IF(Fact_Table[[#This Row],[0/P Producyivity/Day]]&gt;=1000,"High",IF(Fact_Table[[#This Row],[0/P Producyivity/Day]]&gt;=500,"Medium","Low"))</f>
        <v>Low</v>
      </c>
      <c r="Q447" s="10">
        <f>Fact_Table[[#This Row],[Capacity_BPD]]/Fact_Table[[#This Row],[Average_Salary_AED]]</f>
        <v>55.304006758387644</v>
      </c>
      <c r="R447" s="15">
        <f>(Fact_Table[[#This Row],[Petrol_Output_BPD]]/Fact_Table[[#This Row],[Capacity_BPD]])</f>
        <v>0.40825839227145067</v>
      </c>
      <c r="S447" s="15">
        <f>Fact_Table[[#This Row],[Diesel_Output_BPD]]/Fact_Table[[#This Row],[Capacity_BPD]]</f>
        <v>0.44335721409102913</v>
      </c>
      <c r="T447" s="15">
        <f>Fact_Table[[#This Row],[Gas_Output_BPD]]/Fact_Table[[#This Row],[Capacity_BPD]]</f>
        <v>0.14838221141780997</v>
      </c>
      <c r="U447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47" s="8">
        <f ca="1">YEAR(TODAY())-Fact_Table[[#This Row],[Commissioned_Year]]</f>
        <v>18</v>
      </c>
      <c r="W447" s="40" cm="1">
        <f t="array" ref="W447">_xlfn.XLOOKUP(Fact_Table[[#This Row],[Commissioned_Year]],cost_table[[#All],[Year]],cost_table[[#All],[Average_Crude_Price_USD_per_Barrel]],"0")</f>
        <v>24.4</v>
      </c>
      <c r="X447" s="40">
        <f>Fact_Table[[#This Row],[Capacity_BPD]]*Fact_Table[[#This Row],[cost per barrel]]</f>
        <v>11181275.6</v>
      </c>
    </row>
    <row r="448" spans="1:24" x14ac:dyDescent="0.35">
      <c r="A448" t="s">
        <v>60</v>
      </c>
      <c r="B448" t="s">
        <v>32</v>
      </c>
      <c r="C448" t="s">
        <v>46</v>
      </c>
      <c r="D448" s="5">
        <v>237672</v>
      </c>
      <c r="E448" s="5">
        <v>2014</v>
      </c>
      <c r="F448" s="5">
        <v>2012</v>
      </c>
      <c r="G448" s="3" t="s">
        <v>31</v>
      </c>
      <c r="H448" s="4">
        <v>29.6</v>
      </c>
      <c r="I448" s="4">
        <v>6.67</v>
      </c>
      <c r="J448" s="5">
        <v>92054</v>
      </c>
      <c r="K448" s="5">
        <v>113782</v>
      </c>
      <c r="L448" s="5">
        <v>31834</v>
      </c>
      <c r="M448" s="3" t="s">
        <v>17</v>
      </c>
      <c r="N448" s="10">
        <v>8617</v>
      </c>
      <c r="O448" s="12">
        <f>(Fact_Table[[#This Row],[Petrol_Output_BPD]]+Fact_Table[[#This Row],[Diesel_Output_BPD]]+Fact_Table[[#This Row],[Gas_Output_BPD]])/Fact_Table[[#This Row],[No_of_Employees]]</f>
        <v>118.12624254473161</v>
      </c>
      <c r="P448" s="2" t="str">
        <f>IF(Fact_Table[[#This Row],[0/P Producyivity/Day]]&gt;=1000,"High",IF(Fact_Table[[#This Row],[0/P Producyivity/Day]]&gt;=500,"Medium","Low"))</f>
        <v>Low</v>
      </c>
      <c r="Q448" s="10">
        <f>Fact_Table[[#This Row],[Capacity_BPD]]/Fact_Table[[#This Row],[Average_Salary_AED]]</f>
        <v>27.581756991992574</v>
      </c>
      <c r="R448" s="15">
        <f>(Fact_Table[[#This Row],[Petrol_Output_BPD]]/Fact_Table[[#This Row],[Capacity_BPD]])</f>
        <v>0.3873152916624592</v>
      </c>
      <c r="S448" s="15">
        <f>Fact_Table[[#This Row],[Diesel_Output_BPD]]/Fact_Table[[#This Row],[Capacity_BPD]]</f>
        <v>0.47873540004712378</v>
      </c>
      <c r="T448" s="15">
        <f>Fact_Table[[#This Row],[Gas_Output_BPD]]/Fact_Table[[#This Row],[Capacity_BPD]]</f>
        <v>0.13394089333198694</v>
      </c>
      <c r="U44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48" s="8">
        <f ca="1">YEAR(TODAY())-Fact_Table[[#This Row],[Commissioned_Year]]</f>
        <v>11</v>
      </c>
      <c r="W448" s="40" cm="1">
        <f t="array" ref="W448">_xlfn.XLOOKUP(Fact_Table[[#This Row],[Commissioned_Year]],cost_table[[#All],[Year]],cost_table[[#All],[Average_Crude_Price_USD_per_Barrel]],"0")</f>
        <v>61.9</v>
      </c>
      <c r="X448" s="40">
        <f>Fact_Table[[#This Row],[Capacity_BPD]]*Fact_Table[[#This Row],[cost per barrel]]</f>
        <v>14711896.799999999</v>
      </c>
    </row>
    <row r="449" spans="1:24" x14ac:dyDescent="0.35">
      <c r="A449" t="s">
        <v>36</v>
      </c>
      <c r="B449" t="s">
        <v>14</v>
      </c>
      <c r="C449" t="s">
        <v>39</v>
      </c>
      <c r="D449" s="5">
        <v>264973</v>
      </c>
      <c r="E449" s="5">
        <v>1998</v>
      </c>
      <c r="F449" s="5">
        <v>1217</v>
      </c>
      <c r="G449" s="3" t="s">
        <v>28</v>
      </c>
      <c r="H449" s="4">
        <v>30.01</v>
      </c>
      <c r="I449" s="4">
        <v>7.15</v>
      </c>
      <c r="J449" s="5">
        <v>98390</v>
      </c>
      <c r="K449" s="5">
        <v>112881</v>
      </c>
      <c r="L449" s="5">
        <v>53701</v>
      </c>
      <c r="M449" s="3" t="s">
        <v>29</v>
      </c>
      <c r="N449" s="10">
        <v>21241</v>
      </c>
      <c r="O449" s="12">
        <f>(Fact_Table[[#This Row],[Petrol_Output_BPD]]+Fact_Table[[#This Row],[Diesel_Output_BPD]]+Fact_Table[[#This Row],[Gas_Output_BPD]])/Fact_Table[[#This Row],[No_of_Employees]]</f>
        <v>217.72555464256368</v>
      </c>
      <c r="P449" s="2" t="str">
        <f>IF(Fact_Table[[#This Row],[0/P Producyivity/Day]]&gt;=1000,"High",IF(Fact_Table[[#This Row],[0/P Producyivity/Day]]&gt;=500,"Medium","Low"))</f>
        <v>Low</v>
      </c>
      <c r="Q449" s="10">
        <f>Fact_Table[[#This Row],[Capacity_BPD]]/Fact_Table[[#This Row],[Average_Salary_AED]]</f>
        <v>12.474601007485523</v>
      </c>
      <c r="R449" s="15">
        <f>(Fact_Table[[#This Row],[Petrol_Output_BPD]]/Fact_Table[[#This Row],[Capacity_BPD]])</f>
        <v>0.37132085155846067</v>
      </c>
      <c r="S449" s="15">
        <f>Fact_Table[[#This Row],[Diesel_Output_BPD]]/Fact_Table[[#This Row],[Capacity_BPD]]</f>
        <v>0.42600944247149708</v>
      </c>
      <c r="T449" s="15">
        <f>Fact_Table[[#This Row],[Gas_Output_BPD]]/Fact_Table[[#This Row],[Capacity_BPD]]</f>
        <v>0.20266593200061894</v>
      </c>
      <c r="U449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49" s="8">
        <f ca="1">YEAR(TODAY())-Fact_Table[[#This Row],[Commissioned_Year]]</f>
        <v>27</v>
      </c>
      <c r="W449" s="40" cm="1">
        <f t="array" ref="W449">_xlfn.XLOOKUP(Fact_Table[[#This Row],[Commissioned_Year]],cost_table[[#All],[Year]],cost_table[[#All],[Average_Crude_Price_USD_per_Barrel]],"0")</f>
        <v>12.8</v>
      </c>
      <c r="X449" s="40">
        <f>Fact_Table[[#This Row],[Capacity_BPD]]*Fact_Table[[#This Row],[cost per barrel]]</f>
        <v>3391654.4000000004</v>
      </c>
    </row>
    <row r="450" spans="1:24" x14ac:dyDescent="0.35">
      <c r="A450" t="s">
        <v>30</v>
      </c>
      <c r="B450" t="s">
        <v>14</v>
      </c>
      <c r="C450" t="s">
        <v>47</v>
      </c>
      <c r="D450" s="5">
        <v>297349</v>
      </c>
      <c r="E450" s="5">
        <v>2015</v>
      </c>
      <c r="F450" s="5">
        <v>864</v>
      </c>
      <c r="G450" s="3" t="s">
        <v>31</v>
      </c>
      <c r="H450" s="4">
        <v>17.46</v>
      </c>
      <c r="I450" s="4">
        <v>9.6999999999999993</v>
      </c>
      <c r="J450" s="5">
        <v>89699</v>
      </c>
      <c r="K450" s="5">
        <v>143325</v>
      </c>
      <c r="L450" s="5">
        <v>64323</v>
      </c>
      <c r="M450" s="3" t="s">
        <v>23</v>
      </c>
      <c r="N450" s="10">
        <v>21586</v>
      </c>
      <c r="O450" s="12">
        <f>(Fact_Table[[#This Row],[Petrol_Output_BPD]]+Fact_Table[[#This Row],[Diesel_Output_BPD]]+Fact_Table[[#This Row],[Gas_Output_BPD]])/Fact_Table[[#This Row],[No_of_Employees]]</f>
        <v>344.15162037037038</v>
      </c>
      <c r="P450" s="2" t="str">
        <f>IF(Fact_Table[[#This Row],[0/P Producyivity/Day]]&gt;=1000,"High",IF(Fact_Table[[#This Row],[0/P Producyivity/Day]]&gt;=500,"Medium","Low"))</f>
        <v>Low</v>
      </c>
      <c r="Q450" s="10">
        <f>Fact_Table[[#This Row],[Capacity_BPD]]/Fact_Table[[#This Row],[Average_Salary_AED]]</f>
        <v>13.77508570369684</v>
      </c>
      <c r="R450" s="15">
        <f>(Fact_Table[[#This Row],[Petrol_Output_BPD]]/Fact_Table[[#This Row],[Capacity_BPD]])</f>
        <v>0.30166235635566285</v>
      </c>
      <c r="S450" s="15">
        <f>Fact_Table[[#This Row],[Diesel_Output_BPD]]/Fact_Table[[#This Row],[Capacity_BPD]]</f>
        <v>0.48200935600926859</v>
      </c>
      <c r="T450" s="15">
        <f>Fact_Table[[#This Row],[Gas_Output_BPD]]/Fact_Table[[#This Row],[Capacity_BPD]]</f>
        <v>0.21632156153207174</v>
      </c>
      <c r="U450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50" s="8">
        <f ca="1">YEAR(TODAY())-Fact_Table[[#This Row],[Commissioned_Year]]</f>
        <v>10</v>
      </c>
      <c r="W450" s="40" cm="1">
        <f t="array" ref="W450">_xlfn.XLOOKUP(Fact_Table[[#This Row],[Commissioned_Year]],cost_table[[#All],[Year]],cost_table[[#All],[Average_Crude_Price_USD_per_Barrel]],"0")</f>
        <v>43.7</v>
      </c>
      <c r="X450" s="40">
        <f>Fact_Table[[#This Row],[Capacity_BPD]]*Fact_Table[[#This Row],[cost per barrel]]</f>
        <v>12994151.300000001</v>
      </c>
    </row>
    <row r="451" spans="1:24" x14ac:dyDescent="0.35">
      <c r="A451" t="s">
        <v>36</v>
      </c>
      <c r="B451" t="s">
        <v>19</v>
      </c>
      <c r="C451" t="s">
        <v>51</v>
      </c>
      <c r="D451" s="5">
        <v>408061</v>
      </c>
      <c r="E451" s="5">
        <v>1994</v>
      </c>
      <c r="F451" s="5">
        <v>869</v>
      </c>
      <c r="G451" s="3" t="s">
        <v>28</v>
      </c>
      <c r="H451" s="4">
        <v>2.74</v>
      </c>
      <c r="I451" s="4">
        <v>5.76</v>
      </c>
      <c r="J451" s="5">
        <v>150133</v>
      </c>
      <c r="K451" s="5">
        <v>160517</v>
      </c>
      <c r="L451" s="5">
        <v>97410</v>
      </c>
      <c r="M451" s="3" t="s">
        <v>34</v>
      </c>
      <c r="N451" s="10">
        <v>18600</v>
      </c>
      <c r="O451" s="12">
        <f>(Fact_Table[[#This Row],[Petrol_Output_BPD]]+Fact_Table[[#This Row],[Diesel_Output_BPD]]+Fact_Table[[#This Row],[Gas_Output_BPD]])/Fact_Table[[#This Row],[No_of_Employees]]</f>
        <v>469.57422324510929</v>
      </c>
      <c r="P451" s="2" t="str">
        <f>IF(Fact_Table[[#This Row],[0/P Producyivity/Day]]&gt;=1000,"High",IF(Fact_Table[[#This Row],[0/P Producyivity/Day]]&gt;=500,"Medium","Low"))</f>
        <v>Low</v>
      </c>
      <c r="Q451" s="10">
        <f>Fact_Table[[#This Row],[Capacity_BPD]]/Fact_Table[[#This Row],[Average_Salary_AED]]</f>
        <v>21.938763440860214</v>
      </c>
      <c r="R451" s="15">
        <f>(Fact_Table[[#This Row],[Petrol_Output_BPD]]/Fact_Table[[#This Row],[Capacity_BPD]])</f>
        <v>0.36791803186288324</v>
      </c>
      <c r="S451" s="15">
        <f>Fact_Table[[#This Row],[Diesel_Output_BPD]]/Fact_Table[[#This Row],[Capacity_BPD]]</f>
        <v>0.39336520765277738</v>
      </c>
      <c r="T451" s="15">
        <f>Fact_Table[[#This Row],[Gas_Output_BPD]]/Fact_Table[[#This Row],[Capacity_BPD]]</f>
        <v>0.23871430987033801</v>
      </c>
      <c r="U45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51" s="8">
        <f ca="1">YEAR(TODAY())-Fact_Table[[#This Row],[Commissioned_Year]]</f>
        <v>31</v>
      </c>
      <c r="W451" s="40" cm="1">
        <f t="array" ref="W451">_xlfn.XLOOKUP(Fact_Table[[#This Row],[Commissioned_Year]],cost_table[[#All],[Year]],cost_table[[#All],[Average_Crude_Price_USD_per_Barrel]],"0")</f>
        <v>15.9</v>
      </c>
      <c r="X451" s="40">
        <f>Fact_Table[[#This Row],[Capacity_BPD]]*Fact_Table[[#This Row],[cost per barrel]]</f>
        <v>6488169.9000000004</v>
      </c>
    </row>
    <row r="452" spans="1:24" x14ac:dyDescent="0.35">
      <c r="A452" t="s">
        <v>37</v>
      </c>
      <c r="B452" t="s">
        <v>26</v>
      </c>
      <c r="C452" t="s">
        <v>48</v>
      </c>
      <c r="D452" s="5">
        <v>243881</v>
      </c>
      <c r="E452" s="5">
        <v>1986</v>
      </c>
      <c r="F452" s="5">
        <v>691</v>
      </c>
      <c r="G452" s="3" t="s">
        <v>31</v>
      </c>
      <c r="H452" s="4">
        <v>1.72</v>
      </c>
      <c r="I452" s="4">
        <v>5.81</v>
      </c>
      <c r="J452" s="5">
        <v>91843</v>
      </c>
      <c r="K452" s="5">
        <v>109366</v>
      </c>
      <c r="L452" s="5">
        <v>42671</v>
      </c>
      <c r="M452" s="3" t="s">
        <v>34</v>
      </c>
      <c r="N452" s="10">
        <v>15299</v>
      </c>
      <c r="O452" s="12">
        <f>(Fact_Table[[#This Row],[Petrol_Output_BPD]]+Fact_Table[[#This Row],[Diesel_Output_BPD]]+Fact_Table[[#This Row],[Gas_Output_BPD]])/Fact_Table[[#This Row],[No_of_Employees]]</f>
        <v>352.93777134587555</v>
      </c>
      <c r="P452" s="2" t="str">
        <f>IF(Fact_Table[[#This Row],[0/P Producyivity/Day]]&gt;=1000,"High",IF(Fact_Table[[#This Row],[0/P Producyivity/Day]]&gt;=500,"Medium","Low"))</f>
        <v>Low</v>
      </c>
      <c r="Q452" s="10">
        <f>Fact_Table[[#This Row],[Capacity_BPD]]/Fact_Table[[#This Row],[Average_Salary_AED]]</f>
        <v>15.940976534414014</v>
      </c>
      <c r="R452" s="15">
        <f>(Fact_Table[[#This Row],[Petrol_Output_BPD]]/Fact_Table[[#This Row],[Capacity_BPD]])</f>
        <v>0.3765894022084541</v>
      </c>
      <c r="S452" s="15">
        <f>Fact_Table[[#This Row],[Diesel_Output_BPD]]/Fact_Table[[#This Row],[Capacity_BPD]]</f>
        <v>0.44844001787757143</v>
      </c>
      <c r="T452" s="15">
        <f>Fact_Table[[#This Row],[Gas_Output_BPD]]/Fact_Table[[#This Row],[Capacity_BPD]]</f>
        <v>0.17496647955355277</v>
      </c>
      <c r="U45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52" s="8">
        <f ca="1">YEAR(TODAY())-Fact_Table[[#This Row],[Commissioned_Year]]</f>
        <v>39</v>
      </c>
      <c r="W452" s="40" cm="1">
        <f t="array" ref="W452">_xlfn.XLOOKUP(Fact_Table[[#This Row],[Commissioned_Year]],cost_table[[#All],[Year]],cost_table[[#All],[Average_Crude_Price_USD_per_Barrel]],"0")</f>
        <v>14.4</v>
      </c>
      <c r="X452" s="40">
        <f>Fact_Table[[#This Row],[Capacity_BPD]]*Fact_Table[[#This Row],[cost per barrel]]</f>
        <v>3511886.4</v>
      </c>
    </row>
    <row r="453" spans="1:24" x14ac:dyDescent="0.35">
      <c r="A453" t="s">
        <v>24</v>
      </c>
      <c r="B453" t="s">
        <v>32</v>
      </c>
      <c r="C453" t="s">
        <v>15</v>
      </c>
      <c r="D453" s="5">
        <v>363070</v>
      </c>
      <c r="E453" s="5">
        <v>2021</v>
      </c>
      <c r="F453" s="5">
        <v>456</v>
      </c>
      <c r="G453" s="3" t="s">
        <v>28</v>
      </c>
      <c r="H453" s="4">
        <v>17.52</v>
      </c>
      <c r="I453" s="4">
        <v>8.41</v>
      </c>
      <c r="J453" s="5">
        <v>142464</v>
      </c>
      <c r="K453" s="5">
        <v>142120</v>
      </c>
      <c r="L453" s="5">
        <v>78484</v>
      </c>
      <c r="M453" s="3" t="s">
        <v>17</v>
      </c>
      <c r="N453" s="10">
        <v>14120</v>
      </c>
      <c r="O453" s="12">
        <f>(Fact_Table[[#This Row],[Petrol_Output_BPD]]+Fact_Table[[#This Row],[Diesel_Output_BPD]]+Fact_Table[[#This Row],[Gas_Output_BPD]])/Fact_Table[[#This Row],[No_of_Employees]]</f>
        <v>796.20175438596493</v>
      </c>
      <c r="P453" s="2" t="str">
        <f>IF(Fact_Table[[#This Row],[0/P Producyivity/Day]]&gt;=1000,"High",IF(Fact_Table[[#This Row],[0/P Producyivity/Day]]&gt;=500,"Medium","Low"))</f>
        <v>Medium</v>
      </c>
      <c r="Q453" s="10">
        <f>Fact_Table[[#This Row],[Capacity_BPD]]/Fact_Table[[#This Row],[Average_Salary_AED]]</f>
        <v>25.713172804532579</v>
      </c>
      <c r="R453" s="15">
        <f>(Fact_Table[[#This Row],[Petrol_Output_BPD]]/Fact_Table[[#This Row],[Capacity_BPD]])</f>
        <v>0.39238714297518384</v>
      </c>
      <c r="S453" s="15">
        <f>Fact_Table[[#This Row],[Diesel_Output_BPD]]/Fact_Table[[#This Row],[Capacity_BPD]]</f>
        <v>0.39143966728179141</v>
      </c>
      <c r="T453" s="15">
        <f>Fact_Table[[#This Row],[Gas_Output_BPD]]/Fact_Table[[#This Row],[Capacity_BPD]]</f>
        <v>0.21616768116341201</v>
      </c>
      <c r="U453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53" s="8">
        <f ca="1">YEAR(TODAY())-Fact_Table[[#This Row],[Commissioned_Year]]</f>
        <v>4</v>
      </c>
      <c r="W453" s="40" cm="1">
        <f t="array" ref="W453">_xlfn.XLOOKUP(Fact_Table[[#This Row],[Commissioned_Year]],cost_table[[#All],[Year]],cost_table[[#All],[Average_Crude_Price_USD_per_Barrel]],"0")</f>
        <v>54.2</v>
      </c>
      <c r="X453" s="40">
        <f>Fact_Table[[#This Row],[Capacity_BPD]]*Fact_Table[[#This Row],[cost per barrel]]</f>
        <v>19678394</v>
      </c>
    </row>
    <row r="454" spans="1:24" x14ac:dyDescent="0.35">
      <c r="A454" t="s">
        <v>37</v>
      </c>
      <c r="B454" t="s">
        <v>25</v>
      </c>
      <c r="C454" t="s">
        <v>15</v>
      </c>
      <c r="D454" s="5">
        <v>769414</v>
      </c>
      <c r="E454" s="5">
        <v>2022</v>
      </c>
      <c r="F454" s="5">
        <v>1764</v>
      </c>
      <c r="G454" s="3" t="s">
        <v>21</v>
      </c>
      <c r="H454" s="4">
        <v>22.22</v>
      </c>
      <c r="I454" s="4">
        <v>7.77</v>
      </c>
      <c r="J454" s="5">
        <v>271583</v>
      </c>
      <c r="K454" s="5">
        <v>405226</v>
      </c>
      <c r="L454" s="5">
        <v>92604</v>
      </c>
      <c r="M454" s="3" t="s">
        <v>17</v>
      </c>
      <c r="N454" s="10">
        <v>16207</v>
      </c>
      <c r="O454" s="12">
        <f>(Fact_Table[[#This Row],[Petrol_Output_BPD]]+Fact_Table[[#This Row],[Diesel_Output_BPD]]+Fact_Table[[#This Row],[Gas_Output_BPD]])/Fact_Table[[#This Row],[No_of_Employees]]</f>
        <v>436.17517006802723</v>
      </c>
      <c r="P454" s="2" t="str">
        <f>IF(Fact_Table[[#This Row],[0/P Producyivity/Day]]&gt;=1000,"High",IF(Fact_Table[[#This Row],[0/P Producyivity/Day]]&gt;=500,"Medium","Low"))</f>
        <v>Low</v>
      </c>
      <c r="Q454" s="10">
        <f>Fact_Table[[#This Row],[Capacity_BPD]]/Fact_Table[[#This Row],[Average_Salary_AED]]</f>
        <v>47.474177824396868</v>
      </c>
      <c r="R454" s="15">
        <f>(Fact_Table[[#This Row],[Petrol_Output_BPD]]/Fact_Table[[#This Row],[Capacity_BPD]])</f>
        <v>0.35297382163568636</v>
      </c>
      <c r="S454" s="15">
        <f>Fact_Table[[#This Row],[Diesel_Output_BPD]]/Fact_Table[[#This Row],[Capacity_BPD]]</f>
        <v>0.52666834759960179</v>
      </c>
      <c r="T454" s="15">
        <f>Fact_Table[[#This Row],[Gas_Output_BPD]]/Fact_Table[[#This Row],[Capacity_BPD]]</f>
        <v>0.1203565310742981</v>
      </c>
      <c r="U454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54" s="8">
        <f ca="1">YEAR(TODAY())-Fact_Table[[#This Row],[Commissioned_Year]]</f>
        <v>3</v>
      </c>
      <c r="W454" s="40" cm="1">
        <f t="array" ref="W454">_xlfn.XLOOKUP(Fact_Table[[#This Row],[Commissioned_Year]],cost_table[[#All],[Year]],cost_table[[#All],[Average_Crude_Price_USD_per_Barrel]],"0")</f>
        <v>71.3</v>
      </c>
      <c r="X454" s="40">
        <f>Fact_Table[[#This Row],[Capacity_BPD]]*Fact_Table[[#This Row],[cost per barrel]]</f>
        <v>54859218.199999996</v>
      </c>
    </row>
    <row r="455" spans="1:24" x14ac:dyDescent="0.35">
      <c r="A455" t="s">
        <v>35</v>
      </c>
      <c r="B455" t="s">
        <v>14</v>
      </c>
      <c r="C455" t="s">
        <v>49</v>
      </c>
      <c r="D455" s="5">
        <v>183121</v>
      </c>
      <c r="E455" s="5">
        <v>1982</v>
      </c>
      <c r="F455" s="5">
        <v>2017</v>
      </c>
      <c r="G455" s="3" t="s">
        <v>28</v>
      </c>
      <c r="H455" s="4">
        <v>2.62</v>
      </c>
      <c r="I455" s="4">
        <v>6.84</v>
      </c>
      <c r="J455" s="5">
        <v>58311</v>
      </c>
      <c r="K455" s="5">
        <v>93047</v>
      </c>
      <c r="L455" s="5">
        <v>31761</v>
      </c>
      <c r="M455" s="3" t="s">
        <v>29</v>
      </c>
      <c r="N455" s="10">
        <v>15393</v>
      </c>
      <c r="O455" s="12">
        <f>(Fact_Table[[#This Row],[Petrol_Output_BPD]]+Fact_Table[[#This Row],[Diesel_Output_BPD]]+Fact_Table[[#This Row],[Gas_Output_BPD]])/Fact_Table[[#This Row],[No_of_Employees]]</f>
        <v>90.787803668815073</v>
      </c>
      <c r="P455" s="2" t="str">
        <f>IF(Fact_Table[[#This Row],[0/P Producyivity/Day]]&gt;=1000,"High",IF(Fact_Table[[#This Row],[0/P Producyivity/Day]]&gt;=500,"Medium","Low"))</f>
        <v>Low</v>
      </c>
      <c r="Q455" s="10">
        <f>Fact_Table[[#This Row],[Capacity_BPD]]/Fact_Table[[#This Row],[Average_Salary_AED]]</f>
        <v>11.896381472097707</v>
      </c>
      <c r="R455" s="15">
        <f>(Fact_Table[[#This Row],[Petrol_Output_BPD]]/Fact_Table[[#This Row],[Capacity_BPD]])</f>
        <v>0.3184287984447442</v>
      </c>
      <c r="S455" s="15">
        <f>Fact_Table[[#This Row],[Diesel_Output_BPD]]/Fact_Table[[#This Row],[Capacity_BPD]]</f>
        <v>0.50811758345574787</v>
      </c>
      <c r="T455" s="15">
        <f>Fact_Table[[#This Row],[Gas_Output_BPD]]/Fact_Table[[#This Row],[Capacity_BPD]]</f>
        <v>0.17344269635923787</v>
      </c>
      <c r="U455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55" s="8">
        <f ca="1">YEAR(TODAY())-Fact_Table[[#This Row],[Commissioned_Year]]</f>
        <v>43</v>
      </c>
      <c r="W455" s="40" cm="1">
        <f t="array" ref="W455">_xlfn.XLOOKUP(Fact_Table[[#This Row],[Commissioned_Year]],cost_table[[#All],[Year]],cost_table[[#All],[Average_Crude_Price_USD_per_Barrel]],"0")</f>
        <v>32.799999999999997</v>
      </c>
      <c r="X455" s="40">
        <f>Fact_Table[[#This Row],[Capacity_BPD]]*Fact_Table[[#This Row],[cost per barrel]]</f>
        <v>6006368.7999999998</v>
      </c>
    </row>
    <row r="456" spans="1:24" x14ac:dyDescent="0.35">
      <c r="A456" t="s">
        <v>24</v>
      </c>
      <c r="B456" t="s">
        <v>40</v>
      </c>
      <c r="C456" t="s">
        <v>47</v>
      </c>
      <c r="D456" s="5">
        <v>603535</v>
      </c>
      <c r="E456" s="5">
        <v>1996</v>
      </c>
      <c r="F456" s="5">
        <v>618</v>
      </c>
      <c r="G456" s="3" t="s">
        <v>28</v>
      </c>
      <c r="H456" s="4">
        <v>26.19</v>
      </c>
      <c r="I456" s="4">
        <v>7.37</v>
      </c>
      <c r="J456" s="5">
        <v>221856</v>
      </c>
      <c r="K456" s="5">
        <v>249542</v>
      </c>
      <c r="L456" s="5">
        <v>132136</v>
      </c>
      <c r="M456" s="3" t="s">
        <v>34</v>
      </c>
      <c r="N456" s="10">
        <v>14635</v>
      </c>
      <c r="O456" s="12">
        <f>(Fact_Table[[#This Row],[Petrol_Output_BPD]]+Fact_Table[[#This Row],[Diesel_Output_BPD]]+Fact_Table[[#This Row],[Gas_Output_BPD]])/Fact_Table[[#This Row],[No_of_Employees]]</f>
        <v>976.59223300970871</v>
      </c>
      <c r="P456" s="2" t="str">
        <f>IF(Fact_Table[[#This Row],[0/P Producyivity/Day]]&gt;=1000,"High",IF(Fact_Table[[#This Row],[0/P Producyivity/Day]]&gt;=500,"Medium","Low"))</f>
        <v>Medium</v>
      </c>
      <c r="Q456" s="10">
        <f>Fact_Table[[#This Row],[Capacity_BPD]]/Fact_Table[[#This Row],[Average_Salary_AED]]</f>
        <v>41.23915271609156</v>
      </c>
      <c r="R456" s="15">
        <f>(Fact_Table[[#This Row],[Petrol_Output_BPD]]/Fact_Table[[#This Row],[Capacity_BPD]])</f>
        <v>0.36759425716818411</v>
      </c>
      <c r="S456" s="15">
        <f>Fact_Table[[#This Row],[Diesel_Output_BPD]]/Fact_Table[[#This Row],[Capacity_BPD]]</f>
        <v>0.4134673216963391</v>
      </c>
      <c r="T456" s="15">
        <f>Fact_Table[[#This Row],[Gas_Output_BPD]]/Fact_Table[[#This Row],[Capacity_BPD]]</f>
        <v>0.21893676423074054</v>
      </c>
      <c r="U45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56" s="8">
        <f ca="1">YEAR(TODAY())-Fact_Table[[#This Row],[Commissioned_Year]]</f>
        <v>29</v>
      </c>
      <c r="W456" s="40" cm="1">
        <f t="array" ref="W456">_xlfn.XLOOKUP(Fact_Table[[#This Row],[Commissioned_Year]],cost_table[[#All],[Year]],cost_table[[#All],[Average_Crude_Price_USD_per_Barrel]],"0")</f>
        <v>18</v>
      </c>
      <c r="X456" s="40">
        <f>Fact_Table[[#This Row],[Capacity_BPD]]*Fact_Table[[#This Row],[cost per barrel]]</f>
        <v>10863630</v>
      </c>
    </row>
    <row r="457" spans="1:24" x14ac:dyDescent="0.35">
      <c r="A457" t="s">
        <v>18</v>
      </c>
      <c r="B457" t="s">
        <v>19</v>
      </c>
      <c r="C457" t="s">
        <v>48</v>
      </c>
      <c r="D457" s="5">
        <v>357645</v>
      </c>
      <c r="E457" s="5">
        <v>2010</v>
      </c>
      <c r="F457" s="5">
        <v>973</v>
      </c>
      <c r="G457" s="3" t="s">
        <v>16</v>
      </c>
      <c r="H457" s="4">
        <v>12.6</v>
      </c>
      <c r="I457" s="4">
        <v>8.7200000000000006</v>
      </c>
      <c r="J457" s="5">
        <v>132945</v>
      </c>
      <c r="K457" s="5">
        <v>150622</v>
      </c>
      <c r="L457" s="5">
        <v>74077</v>
      </c>
      <c r="M457" s="3" t="s">
        <v>23</v>
      </c>
      <c r="N457" s="10">
        <v>19322</v>
      </c>
      <c r="O457" s="12">
        <f>(Fact_Table[[#This Row],[Petrol_Output_BPD]]+Fact_Table[[#This Row],[Diesel_Output_BPD]]+Fact_Table[[#This Row],[Gas_Output_BPD]])/Fact_Table[[#This Row],[No_of_Employees]]</f>
        <v>367.56834532374103</v>
      </c>
      <c r="P457" s="2" t="str">
        <f>IF(Fact_Table[[#This Row],[0/P Producyivity/Day]]&gt;=1000,"High",IF(Fact_Table[[#This Row],[0/P Producyivity/Day]]&gt;=500,"Medium","Low"))</f>
        <v>Low</v>
      </c>
      <c r="Q457" s="10">
        <f>Fact_Table[[#This Row],[Capacity_BPD]]/Fact_Table[[#This Row],[Average_Salary_AED]]</f>
        <v>18.509729841631302</v>
      </c>
      <c r="R457" s="15">
        <f>(Fact_Table[[#This Row],[Petrol_Output_BPD]]/Fact_Table[[#This Row],[Capacity_BPD]])</f>
        <v>0.3717233569601141</v>
      </c>
      <c r="S457" s="15">
        <f>Fact_Table[[#This Row],[Diesel_Output_BPD]]/Fact_Table[[#This Row],[Capacity_BPD]]</f>
        <v>0.42114946385382152</v>
      </c>
      <c r="T457" s="15">
        <f>Fact_Table[[#This Row],[Gas_Output_BPD]]/Fact_Table[[#This Row],[Capacity_BPD]]</f>
        <v>0.20712438311733702</v>
      </c>
      <c r="U457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57" s="8">
        <f ca="1">YEAR(TODAY())-Fact_Table[[#This Row],[Commissioned_Year]]</f>
        <v>15</v>
      </c>
      <c r="W457" s="40" cm="1">
        <f t="array" ref="W457">_xlfn.XLOOKUP(Fact_Table[[#This Row],[Commissioned_Year]],cost_table[[#All],[Year]],cost_table[[#All],[Average_Crude_Price_USD_per_Barrel]],"0")</f>
        <v>56.6</v>
      </c>
      <c r="X457" s="40">
        <f>Fact_Table[[#This Row],[Capacity_BPD]]*Fact_Table[[#This Row],[cost per barrel]]</f>
        <v>20242707</v>
      </c>
    </row>
    <row r="458" spans="1:24" x14ac:dyDescent="0.35">
      <c r="A458" t="s">
        <v>37</v>
      </c>
      <c r="B458" t="s">
        <v>32</v>
      </c>
      <c r="C458" t="s">
        <v>49</v>
      </c>
      <c r="D458" s="5">
        <v>783195</v>
      </c>
      <c r="E458" s="5">
        <v>2000</v>
      </c>
      <c r="F458" s="5">
        <v>2136</v>
      </c>
      <c r="G458" s="3" t="s">
        <v>31</v>
      </c>
      <c r="H458" s="4">
        <v>15.68</v>
      </c>
      <c r="I458" s="4">
        <v>8.23</v>
      </c>
      <c r="J458" s="5">
        <v>313899</v>
      </c>
      <c r="K458" s="5">
        <v>364841</v>
      </c>
      <c r="L458" s="5">
        <v>104454</v>
      </c>
      <c r="M458" s="3" t="s">
        <v>23</v>
      </c>
      <c r="N458" s="10">
        <v>9900</v>
      </c>
      <c r="O458" s="12">
        <f>(Fact_Table[[#This Row],[Petrol_Output_BPD]]+Fact_Table[[#This Row],[Diesel_Output_BPD]]+Fact_Table[[#This Row],[Gas_Output_BPD]])/Fact_Table[[#This Row],[No_of_Employees]]</f>
        <v>366.66385767790263</v>
      </c>
      <c r="P458" s="2" t="str">
        <f>IF(Fact_Table[[#This Row],[0/P Producyivity/Day]]&gt;=1000,"High",IF(Fact_Table[[#This Row],[0/P Producyivity/Day]]&gt;=500,"Medium","Low"))</f>
        <v>Low</v>
      </c>
      <c r="Q458" s="10">
        <f>Fact_Table[[#This Row],[Capacity_BPD]]/Fact_Table[[#This Row],[Average_Salary_AED]]</f>
        <v>79.110606060606059</v>
      </c>
      <c r="R458" s="15">
        <f>(Fact_Table[[#This Row],[Petrol_Output_BPD]]/Fact_Table[[#This Row],[Capacity_BPD]])</f>
        <v>0.40079290598126904</v>
      </c>
      <c r="S458" s="15">
        <f>Fact_Table[[#This Row],[Diesel_Output_BPD]]/Fact_Table[[#This Row],[Capacity_BPD]]</f>
        <v>0.46583673286984723</v>
      </c>
      <c r="T458" s="15">
        <f>Fact_Table[[#This Row],[Gas_Output_BPD]]/Fact_Table[[#This Row],[Capacity_BPD]]</f>
        <v>0.13336908432765787</v>
      </c>
      <c r="U458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58" s="8">
        <f ca="1">YEAR(TODAY())-Fact_Table[[#This Row],[Commissioned_Year]]</f>
        <v>25</v>
      </c>
      <c r="W458" s="40" cm="1">
        <f t="array" ref="W458">_xlfn.XLOOKUP(Fact_Table[[#This Row],[Commissioned_Year]],cost_table[[#All],[Year]],cost_table[[#All],[Average_Crude_Price_USD_per_Barrel]],"0")</f>
        <v>23.1</v>
      </c>
      <c r="X458" s="40">
        <f>Fact_Table[[#This Row],[Capacity_BPD]]*Fact_Table[[#This Row],[cost per barrel]]</f>
        <v>18091804.5</v>
      </c>
    </row>
    <row r="459" spans="1:24" x14ac:dyDescent="0.35">
      <c r="A459" t="s">
        <v>37</v>
      </c>
      <c r="B459" t="s">
        <v>41</v>
      </c>
      <c r="C459" t="s">
        <v>46</v>
      </c>
      <c r="D459" s="5">
        <v>190787</v>
      </c>
      <c r="E459" s="5">
        <v>2013</v>
      </c>
      <c r="F459" s="5">
        <v>2399</v>
      </c>
      <c r="G459" s="3" t="s">
        <v>16</v>
      </c>
      <c r="H459" s="4">
        <v>21.53</v>
      </c>
      <c r="I459" s="4">
        <v>9.6999999999999993</v>
      </c>
      <c r="J459" s="5">
        <v>87331</v>
      </c>
      <c r="K459" s="5">
        <v>77361</v>
      </c>
      <c r="L459" s="5">
        <v>26093</v>
      </c>
      <c r="M459" s="3" t="s">
        <v>34</v>
      </c>
      <c r="N459" s="10">
        <v>24197</v>
      </c>
      <c r="O459" s="12">
        <f>(Fact_Table[[#This Row],[Petrol_Output_BPD]]+Fact_Table[[#This Row],[Diesel_Output_BPD]]+Fact_Table[[#This Row],[Gas_Output_BPD]])/Fact_Table[[#This Row],[No_of_Employees]]</f>
        <v>79.526886202584407</v>
      </c>
      <c r="P459" s="2" t="str">
        <f>IF(Fact_Table[[#This Row],[0/P Producyivity/Day]]&gt;=1000,"High",IF(Fact_Table[[#This Row],[0/P Producyivity/Day]]&gt;=500,"Medium","Low"))</f>
        <v>Low</v>
      </c>
      <c r="Q459" s="10">
        <f>Fact_Table[[#This Row],[Capacity_BPD]]/Fact_Table[[#This Row],[Average_Salary_AED]]</f>
        <v>7.8847377774104226</v>
      </c>
      <c r="R459" s="15">
        <f>(Fact_Table[[#This Row],[Petrol_Output_BPD]]/Fact_Table[[#This Row],[Capacity_BPD]])</f>
        <v>0.45774083139836574</v>
      </c>
      <c r="S459" s="15">
        <f>Fact_Table[[#This Row],[Diesel_Output_BPD]]/Fact_Table[[#This Row],[Capacity_BPD]]</f>
        <v>0.40548360213222073</v>
      </c>
      <c r="T459" s="15">
        <f>Fact_Table[[#This Row],[Gas_Output_BPD]]/Fact_Table[[#This Row],[Capacity_BPD]]</f>
        <v>0.13676508357487668</v>
      </c>
      <c r="U459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59" s="8">
        <f ca="1">YEAR(TODAY())-Fact_Table[[#This Row],[Commissioned_Year]]</f>
        <v>12</v>
      </c>
      <c r="W459" s="40" cm="1">
        <f t="array" ref="W459">_xlfn.XLOOKUP(Fact_Table[[#This Row],[Commissioned_Year]],cost_table[[#All],[Year]],cost_table[[#All],[Average_Crude_Price_USD_per_Barrel]],"0")</f>
        <v>97.3</v>
      </c>
      <c r="X459" s="40">
        <f>Fact_Table[[#This Row],[Capacity_BPD]]*Fact_Table[[#This Row],[cost per barrel]]</f>
        <v>18563575.099999998</v>
      </c>
    </row>
    <row r="460" spans="1:24" x14ac:dyDescent="0.35">
      <c r="A460" t="s">
        <v>37</v>
      </c>
      <c r="B460" t="s">
        <v>14</v>
      </c>
      <c r="C460" t="s">
        <v>49</v>
      </c>
      <c r="D460" s="5">
        <v>50257</v>
      </c>
      <c r="E460" s="5">
        <v>2001</v>
      </c>
      <c r="F460" s="5">
        <v>1339</v>
      </c>
      <c r="G460" s="3" t="s">
        <v>21</v>
      </c>
      <c r="H460" s="4">
        <v>33.659999999999997</v>
      </c>
      <c r="I460" s="4">
        <v>5.73</v>
      </c>
      <c r="J460" s="5">
        <v>21615</v>
      </c>
      <c r="K460" s="5">
        <v>20374</v>
      </c>
      <c r="L460" s="5">
        <v>8267</v>
      </c>
      <c r="M460" s="3" t="s">
        <v>17</v>
      </c>
      <c r="N460" s="10">
        <v>17437</v>
      </c>
      <c r="O460" s="12">
        <f>(Fact_Table[[#This Row],[Petrol_Output_BPD]]+Fact_Table[[#This Row],[Diesel_Output_BPD]]+Fact_Table[[#This Row],[Gas_Output_BPD]])/Fact_Table[[#This Row],[No_of_Employees]]</f>
        <v>37.532486930545183</v>
      </c>
      <c r="P460" s="2" t="str">
        <f>IF(Fact_Table[[#This Row],[0/P Producyivity/Day]]&gt;=1000,"High",IF(Fact_Table[[#This Row],[0/P Producyivity/Day]]&gt;=500,"Medium","Low"))</f>
        <v>Low</v>
      </c>
      <c r="Q460" s="10">
        <f>Fact_Table[[#This Row],[Capacity_BPD]]/Fact_Table[[#This Row],[Average_Salary_AED]]</f>
        <v>2.8822045076561333</v>
      </c>
      <c r="R460" s="15">
        <f>(Fact_Table[[#This Row],[Petrol_Output_BPD]]/Fact_Table[[#This Row],[Capacity_BPD]])</f>
        <v>0.43008934078834787</v>
      </c>
      <c r="S460" s="15">
        <f>Fact_Table[[#This Row],[Diesel_Output_BPD]]/Fact_Table[[#This Row],[Capacity_BPD]]</f>
        <v>0.40539626320711541</v>
      </c>
      <c r="T460" s="15">
        <f>Fact_Table[[#This Row],[Gas_Output_BPD]]/Fact_Table[[#This Row],[Capacity_BPD]]</f>
        <v>0.16449449827884674</v>
      </c>
      <c r="U460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60" s="8">
        <f ca="1">YEAR(TODAY())-Fact_Table[[#This Row],[Commissioned_Year]]</f>
        <v>24</v>
      </c>
      <c r="W460" s="40" cm="1">
        <f t="array" ref="W460">_xlfn.XLOOKUP(Fact_Table[[#This Row],[Commissioned_Year]],cost_table[[#All],[Year]],cost_table[[#All],[Average_Crude_Price_USD_per_Barrel]],"0")</f>
        <v>28.4</v>
      </c>
      <c r="X460" s="40">
        <f>Fact_Table[[#This Row],[Capacity_BPD]]*Fact_Table[[#This Row],[cost per barrel]]</f>
        <v>1427298.7999999998</v>
      </c>
    </row>
    <row r="461" spans="1:24" x14ac:dyDescent="0.35">
      <c r="A461" t="s">
        <v>18</v>
      </c>
      <c r="B461" t="s">
        <v>25</v>
      </c>
      <c r="C461" t="s">
        <v>15</v>
      </c>
      <c r="D461" s="5">
        <v>116291</v>
      </c>
      <c r="E461" s="5">
        <v>2003</v>
      </c>
      <c r="F461" s="5">
        <v>1449</v>
      </c>
      <c r="G461" s="3" t="s">
        <v>21</v>
      </c>
      <c r="H461" s="4">
        <v>26.79</v>
      </c>
      <c r="I461" s="4">
        <v>7.9</v>
      </c>
      <c r="J461" s="5">
        <v>44511</v>
      </c>
      <c r="K461" s="5">
        <v>57458</v>
      </c>
      <c r="L461" s="5">
        <v>14320</v>
      </c>
      <c r="M461" s="3" t="s">
        <v>23</v>
      </c>
      <c r="N461" s="10">
        <v>13418</v>
      </c>
      <c r="O461" s="12">
        <f>(Fact_Table[[#This Row],[Petrol_Output_BPD]]+Fact_Table[[#This Row],[Diesel_Output_BPD]]+Fact_Table[[#This Row],[Gas_Output_BPD]])/Fact_Table[[#This Row],[No_of_Employees]]</f>
        <v>80.254658385093165</v>
      </c>
      <c r="P461" s="2" t="str">
        <f>IF(Fact_Table[[#This Row],[0/P Producyivity/Day]]&gt;=1000,"High",IF(Fact_Table[[#This Row],[0/P Producyivity/Day]]&gt;=500,"Medium","Low"))</f>
        <v>Low</v>
      </c>
      <c r="Q461" s="10">
        <f>Fact_Table[[#This Row],[Capacity_BPD]]/Fact_Table[[#This Row],[Average_Salary_AED]]</f>
        <v>8.666790877925175</v>
      </c>
      <c r="R461" s="15">
        <f>(Fact_Table[[#This Row],[Petrol_Output_BPD]]/Fact_Table[[#This Row],[Capacity_BPD]])</f>
        <v>0.38275532930321349</v>
      </c>
      <c r="S461" s="15">
        <f>Fact_Table[[#This Row],[Diesel_Output_BPD]]/Fact_Table[[#This Row],[Capacity_BPD]]</f>
        <v>0.49408810656026692</v>
      </c>
      <c r="T461" s="15">
        <f>Fact_Table[[#This Row],[Gas_Output_BPD]]/Fact_Table[[#This Row],[Capacity_BPD]]</f>
        <v>0.12313936590105855</v>
      </c>
      <c r="U46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61" s="8">
        <f ca="1">YEAR(TODAY())-Fact_Table[[#This Row],[Commissioned_Year]]</f>
        <v>22</v>
      </c>
      <c r="W461" s="40" cm="1">
        <f t="array" ref="W461">_xlfn.XLOOKUP(Fact_Table[[#This Row],[Commissioned_Year]],cost_table[[#All],[Year]],cost_table[[#All],[Average_Crude_Price_USD_per_Barrel]],"0")</f>
        <v>17.2</v>
      </c>
      <c r="X461" s="40">
        <f>Fact_Table[[#This Row],[Capacity_BPD]]*Fact_Table[[#This Row],[cost per barrel]]</f>
        <v>2000205.2</v>
      </c>
    </row>
    <row r="462" spans="1:24" x14ac:dyDescent="0.35">
      <c r="A462" t="s">
        <v>30</v>
      </c>
      <c r="B462" t="s">
        <v>40</v>
      </c>
      <c r="C462" t="s">
        <v>46</v>
      </c>
      <c r="D462" s="5">
        <v>472809</v>
      </c>
      <c r="E462" s="5">
        <v>2009</v>
      </c>
      <c r="F462" s="5">
        <v>2010</v>
      </c>
      <c r="G462" s="3" t="s">
        <v>31</v>
      </c>
      <c r="H462" s="4">
        <v>8.2799999999999994</v>
      </c>
      <c r="I462" s="4">
        <v>5.32</v>
      </c>
      <c r="J462" s="5">
        <v>174207</v>
      </c>
      <c r="K462" s="5">
        <v>212936</v>
      </c>
      <c r="L462" s="5">
        <v>85664</v>
      </c>
      <c r="M462" s="3" t="s">
        <v>38</v>
      </c>
      <c r="N462" s="10">
        <v>14833</v>
      </c>
      <c r="O462" s="12">
        <f>(Fact_Table[[#This Row],[Petrol_Output_BPD]]+Fact_Table[[#This Row],[Diesel_Output_BPD]]+Fact_Table[[#This Row],[Gas_Output_BPD]])/Fact_Table[[#This Row],[No_of_Employees]]</f>
        <v>235.22736318407959</v>
      </c>
      <c r="P462" s="2" t="str">
        <f>IF(Fact_Table[[#This Row],[0/P Producyivity/Day]]&gt;=1000,"High",IF(Fact_Table[[#This Row],[0/P Producyivity/Day]]&gt;=500,"Medium","Low"))</f>
        <v>Low</v>
      </c>
      <c r="Q462" s="10">
        <f>Fact_Table[[#This Row],[Capacity_BPD]]/Fact_Table[[#This Row],[Average_Salary_AED]]</f>
        <v>31.875480347872987</v>
      </c>
      <c r="R462" s="15">
        <f>(Fact_Table[[#This Row],[Petrol_Output_BPD]]/Fact_Table[[#This Row],[Capacity_BPD]])</f>
        <v>0.36845110816418469</v>
      </c>
      <c r="S462" s="15">
        <f>Fact_Table[[#This Row],[Diesel_Output_BPD]]/Fact_Table[[#This Row],[Capacity_BPD]]</f>
        <v>0.45036367751036888</v>
      </c>
      <c r="T462" s="15">
        <f>Fact_Table[[#This Row],[Gas_Output_BPD]]/Fact_Table[[#This Row],[Capacity_BPD]]</f>
        <v>0.18118098428752413</v>
      </c>
      <c r="U46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62" s="8">
        <f ca="1">YEAR(TODAY())-Fact_Table[[#This Row],[Commissioned_Year]]</f>
        <v>16</v>
      </c>
      <c r="W462" s="40" cm="1">
        <f t="array" ref="W462">_xlfn.XLOOKUP(Fact_Table[[#This Row],[Commissioned_Year]],cost_table[[#All],[Year]],cost_table[[#All],[Average_Crude_Price_USD_per_Barrel]],"0")</f>
        <v>41.4</v>
      </c>
      <c r="X462" s="40">
        <f>Fact_Table[[#This Row],[Capacity_BPD]]*Fact_Table[[#This Row],[cost per barrel]]</f>
        <v>19574292.599999998</v>
      </c>
    </row>
    <row r="463" spans="1:24" x14ac:dyDescent="0.35">
      <c r="A463" t="s">
        <v>24</v>
      </c>
      <c r="B463" t="s">
        <v>40</v>
      </c>
      <c r="C463" t="s">
        <v>15</v>
      </c>
      <c r="D463" s="5">
        <v>744288</v>
      </c>
      <c r="E463" s="5">
        <v>1987</v>
      </c>
      <c r="F463" s="5">
        <v>1507</v>
      </c>
      <c r="G463" s="3" t="s">
        <v>28</v>
      </c>
      <c r="H463" s="4">
        <v>10.34</v>
      </c>
      <c r="I463" s="4">
        <v>8.02</v>
      </c>
      <c r="J463" s="5">
        <v>271392</v>
      </c>
      <c r="K463" s="5">
        <v>308401</v>
      </c>
      <c r="L463" s="5">
        <v>164494</v>
      </c>
      <c r="M463" s="3" t="s">
        <v>23</v>
      </c>
      <c r="N463" s="10">
        <v>18737</v>
      </c>
      <c r="O463" s="12">
        <f>(Fact_Table[[#This Row],[Petrol_Output_BPD]]+Fact_Table[[#This Row],[Diesel_Output_BPD]]+Fact_Table[[#This Row],[Gas_Output_BPD]])/Fact_Table[[#This Row],[No_of_Employees]]</f>
        <v>493.88652952886531</v>
      </c>
      <c r="P463" s="2" t="str">
        <f>IF(Fact_Table[[#This Row],[0/P Producyivity/Day]]&gt;=1000,"High",IF(Fact_Table[[#This Row],[0/P Producyivity/Day]]&gt;=500,"Medium","Low"))</f>
        <v>Low</v>
      </c>
      <c r="Q463" s="10">
        <f>Fact_Table[[#This Row],[Capacity_BPD]]/Fact_Table[[#This Row],[Average_Salary_AED]]</f>
        <v>39.722901211506645</v>
      </c>
      <c r="R463" s="15">
        <f>(Fact_Table[[#This Row],[Petrol_Output_BPD]]/Fact_Table[[#This Row],[Capacity_BPD]])</f>
        <v>0.36463304527279761</v>
      </c>
      <c r="S463" s="15">
        <f>Fact_Table[[#This Row],[Diesel_Output_BPD]]/Fact_Table[[#This Row],[Capacity_BPD]]</f>
        <v>0.41435707683047424</v>
      </c>
      <c r="T463" s="15">
        <f>Fact_Table[[#This Row],[Gas_Output_BPD]]/Fact_Table[[#This Row],[Capacity_BPD]]</f>
        <v>0.22100853433079667</v>
      </c>
      <c r="U463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63" s="8">
        <f ca="1">YEAR(TODAY())-Fact_Table[[#This Row],[Commissioned_Year]]</f>
        <v>38</v>
      </c>
      <c r="W463" s="40" cm="1">
        <f t="array" ref="W463">_xlfn.XLOOKUP(Fact_Table[[#This Row],[Commissioned_Year]],cost_table[[#All],[Year]],cost_table[[#All],[Average_Crude_Price_USD_per_Barrel]],"0")</f>
        <v>18.399999999999999</v>
      </c>
      <c r="X463" s="40">
        <f>Fact_Table[[#This Row],[Capacity_BPD]]*Fact_Table[[#This Row],[cost per barrel]]</f>
        <v>13694899.199999999</v>
      </c>
    </row>
    <row r="464" spans="1:24" x14ac:dyDescent="0.35">
      <c r="A464" t="s">
        <v>37</v>
      </c>
      <c r="B464" t="s">
        <v>41</v>
      </c>
      <c r="C464" t="s">
        <v>15</v>
      </c>
      <c r="D464" s="5">
        <v>256078</v>
      </c>
      <c r="E464" s="5">
        <v>2011</v>
      </c>
      <c r="F464" s="5">
        <v>1686</v>
      </c>
      <c r="G464" s="3" t="s">
        <v>28</v>
      </c>
      <c r="H464" s="4">
        <v>13.47</v>
      </c>
      <c r="I464" s="4">
        <v>8.18</v>
      </c>
      <c r="J464" s="5">
        <v>80458</v>
      </c>
      <c r="K464" s="5">
        <v>97254</v>
      </c>
      <c r="L464" s="5">
        <v>78364</v>
      </c>
      <c r="M464" s="3" t="s">
        <v>29</v>
      </c>
      <c r="N464" s="10">
        <v>17410</v>
      </c>
      <c r="O464" s="12">
        <f>(Fact_Table[[#This Row],[Petrol_Output_BPD]]+Fact_Table[[#This Row],[Diesel_Output_BPD]]+Fact_Table[[#This Row],[Gas_Output_BPD]])/Fact_Table[[#This Row],[No_of_Employees]]</f>
        <v>151.88374851720047</v>
      </c>
      <c r="P464" s="2" t="str">
        <f>IF(Fact_Table[[#This Row],[0/P Producyivity/Day]]&gt;=1000,"High",IF(Fact_Table[[#This Row],[0/P Producyivity/Day]]&gt;=500,"Medium","Low"))</f>
        <v>Low</v>
      </c>
      <c r="Q464" s="10">
        <f>Fact_Table[[#This Row],[Capacity_BPD]]/Fact_Table[[#This Row],[Average_Salary_AED]]</f>
        <v>14.70867317633544</v>
      </c>
      <c r="R464" s="15">
        <f>(Fact_Table[[#This Row],[Petrol_Output_BPD]]/Fact_Table[[#This Row],[Capacity_BPD]])</f>
        <v>0.3141933317192418</v>
      </c>
      <c r="S464" s="15">
        <f>Fact_Table[[#This Row],[Diesel_Output_BPD]]/Fact_Table[[#This Row],[Capacity_BPD]]</f>
        <v>0.37978272245175299</v>
      </c>
      <c r="T464" s="15">
        <f>Fact_Table[[#This Row],[Gas_Output_BPD]]/Fact_Table[[#This Row],[Capacity_BPD]]</f>
        <v>0.30601613570865127</v>
      </c>
      <c r="U464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64" s="8">
        <f ca="1">YEAR(TODAY())-Fact_Table[[#This Row],[Commissioned_Year]]</f>
        <v>14</v>
      </c>
      <c r="W464" s="40" cm="1">
        <f t="array" ref="W464">_xlfn.XLOOKUP(Fact_Table[[#This Row],[Commissioned_Year]],cost_table[[#All],[Year]],cost_table[[#All],[Average_Crude_Price_USD_per_Barrel]],"0")</f>
        <v>66.099999999999994</v>
      </c>
      <c r="X464" s="40">
        <f>Fact_Table[[#This Row],[Capacity_BPD]]*Fact_Table[[#This Row],[cost per barrel]]</f>
        <v>16926755.799999997</v>
      </c>
    </row>
    <row r="465" spans="1:24" x14ac:dyDescent="0.35">
      <c r="A465" t="s">
        <v>27</v>
      </c>
      <c r="B465" t="s">
        <v>19</v>
      </c>
      <c r="C465" t="s">
        <v>20</v>
      </c>
      <c r="D465" s="5">
        <v>289861</v>
      </c>
      <c r="E465" s="5">
        <v>2019</v>
      </c>
      <c r="F465" s="5">
        <v>1519</v>
      </c>
      <c r="G465" s="3" t="s">
        <v>16</v>
      </c>
      <c r="H465" s="4">
        <v>5.36</v>
      </c>
      <c r="I465" s="4">
        <v>8.44</v>
      </c>
      <c r="J465" s="5">
        <v>109223</v>
      </c>
      <c r="K465" s="5">
        <v>121557</v>
      </c>
      <c r="L465" s="5">
        <v>59079</v>
      </c>
      <c r="M465" s="3" t="s">
        <v>38</v>
      </c>
      <c r="N465" s="10">
        <v>9081</v>
      </c>
      <c r="O465" s="12">
        <f>(Fact_Table[[#This Row],[Petrol_Output_BPD]]+Fact_Table[[#This Row],[Diesel_Output_BPD]]+Fact_Table[[#This Row],[Gas_Output_BPD]])/Fact_Table[[#This Row],[No_of_Employees]]</f>
        <v>190.82225148123766</v>
      </c>
      <c r="P465" s="2" t="str">
        <f>IF(Fact_Table[[#This Row],[0/P Producyivity/Day]]&gt;=1000,"High",IF(Fact_Table[[#This Row],[0/P Producyivity/Day]]&gt;=500,"Medium","Low"))</f>
        <v>Low</v>
      </c>
      <c r="Q465" s="10">
        <f>Fact_Table[[#This Row],[Capacity_BPD]]/Fact_Table[[#This Row],[Average_Salary_AED]]</f>
        <v>31.919502257460632</v>
      </c>
      <c r="R465" s="15">
        <f>(Fact_Table[[#This Row],[Petrol_Output_BPD]]/Fact_Table[[#This Row],[Capacity_BPD]])</f>
        <v>0.37681164420187607</v>
      </c>
      <c r="S465" s="15">
        <f>Fact_Table[[#This Row],[Diesel_Output_BPD]]/Fact_Table[[#This Row],[Capacity_BPD]]</f>
        <v>0.41936307402513617</v>
      </c>
      <c r="T465" s="15">
        <f>Fact_Table[[#This Row],[Gas_Output_BPD]]/Fact_Table[[#This Row],[Capacity_BPD]]</f>
        <v>0.20381838191408985</v>
      </c>
      <c r="U465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65" s="8">
        <f ca="1">YEAR(TODAY())-Fact_Table[[#This Row],[Commissioned_Year]]</f>
        <v>6</v>
      </c>
      <c r="W465" s="40" cm="1">
        <f t="array" ref="W465">_xlfn.XLOOKUP(Fact_Table[[#This Row],[Commissioned_Year]],cost_table[[#All],[Year]],cost_table[[#All],[Average_Crude_Price_USD_per_Barrel]],"0")</f>
        <v>52.3</v>
      </c>
      <c r="X465" s="40">
        <f>Fact_Table[[#This Row],[Capacity_BPD]]*Fact_Table[[#This Row],[cost per barrel]]</f>
        <v>15159730.299999999</v>
      </c>
    </row>
    <row r="466" spans="1:24" x14ac:dyDescent="0.35">
      <c r="A466" t="s">
        <v>30</v>
      </c>
      <c r="B466" t="s">
        <v>25</v>
      </c>
      <c r="C466" t="s">
        <v>48</v>
      </c>
      <c r="D466" s="5">
        <v>106826</v>
      </c>
      <c r="E466" s="5">
        <v>1979</v>
      </c>
      <c r="F466" s="5">
        <v>694</v>
      </c>
      <c r="G466" s="3" t="s">
        <v>21</v>
      </c>
      <c r="H466" s="4">
        <v>9.14</v>
      </c>
      <c r="I466" s="4">
        <v>6.31</v>
      </c>
      <c r="J466" s="5">
        <v>39607</v>
      </c>
      <c r="K466" s="5">
        <v>47405</v>
      </c>
      <c r="L466" s="5">
        <v>19812</v>
      </c>
      <c r="M466" s="3" t="s">
        <v>23</v>
      </c>
      <c r="N466" s="10">
        <v>12152</v>
      </c>
      <c r="O466" s="12">
        <f>(Fact_Table[[#This Row],[Petrol_Output_BPD]]+Fact_Table[[#This Row],[Diesel_Output_BPD]]+Fact_Table[[#This Row],[Gas_Output_BPD]])/Fact_Table[[#This Row],[No_of_Employees]]</f>
        <v>153.92507204610951</v>
      </c>
      <c r="P466" s="2" t="str">
        <f>IF(Fact_Table[[#This Row],[0/P Producyivity/Day]]&gt;=1000,"High",IF(Fact_Table[[#This Row],[0/P Producyivity/Day]]&gt;=500,"Medium","Low"))</f>
        <v>Low</v>
      </c>
      <c r="Q466" s="10">
        <f>Fact_Table[[#This Row],[Capacity_BPD]]/Fact_Table[[#This Row],[Average_Salary_AED]]</f>
        <v>8.7908163265306118</v>
      </c>
      <c r="R466" s="15">
        <f>(Fact_Table[[#This Row],[Petrol_Output_BPD]]/Fact_Table[[#This Row],[Capacity_BPD]])</f>
        <v>0.37076179956190441</v>
      </c>
      <c r="S466" s="15">
        <f>Fact_Table[[#This Row],[Diesel_Output_BPD]]/Fact_Table[[#This Row],[Capacity_BPD]]</f>
        <v>0.4437590099788441</v>
      </c>
      <c r="T466" s="15">
        <f>Fact_Table[[#This Row],[Gas_Output_BPD]]/Fact_Table[[#This Row],[Capacity_BPD]]</f>
        <v>0.18546046842528974</v>
      </c>
      <c r="U46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66" s="8">
        <f ca="1">YEAR(TODAY())-Fact_Table[[#This Row],[Commissioned_Year]]</f>
        <v>46</v>
      </c>
      <c r="W466" s="40" cm="1">
        <f t="array" ref="W466">_xlfn.XLOOKUP(Fact_Table[[#This Row],[Commissioned_Year]],cost_table[[#All],[Year]],cost_table[[#All],[Average_Crude_Price_USD_per_Barrel]],"0")</f>
        <v>31.6</v>
      </c>
      <c r="X466" s="40">
        <f>Fact_Table[[#This Row],[Capacity_BPD]]*Fact_Table[[#This Row],[cost per barrel]]</f>
        <v>3375701.6</v>
      </c>
    </row>
    <row r="467" spans="1:24" x14ac:dyDescent="0.35">
      <c r="A467" t="s">
        <v>60</v>
      </c>
      <c r="B467" t="s">
        <v>14</v>
      </c>
      <c r="C467" t="s">
        <v>50</v>
      </c>
      <c r="D467" s="5">
        <v>749671</v>
      </c>
      <c r="E467" s="5">
        <v>1983</v>
      </c>
      <c r="F467" s="5">
        <v>447</v>
      </c>
      <c r="G467" s="3" t="s">
        <v>21</v>
      </c>
      <c r="H467" s="4">
        <v>7</v>
      </c>
      <c r="I467" s="4">
        <v>7.96</v>
      </c>
      <c r="J467" s="5">
        <v>271488</v>
      </c>
      <c r="K467" s="5">
        <v>316572</v>
      </c>
      <c r="L467" s="5">
        <v>161609</v>
      </c>
      <c r="M467" s="3" t="s">
        <v>17</v>
      </c>
      <c r="N467" s="10">
        <v>21860</v>
      </c>
      <c r="O467" s="12">
        <f>(Fact_Table[[#This Row],[Petrol_Output_BPD]]+Fact_Table[[#This Row],[Diesel_Output_BPD]]+Fact_Table[[#This Row],[Gas_Output_BPD]])/Fact_Table[[#This Row],[No_of_Employees]]</f>
        <v>1677.1118568232662</v>
      </c>
      <c r="P467" s="2" t="str">
        <f>IF(Fact_Table[[#This Row],[0/P Producyivity/Day]]&gt;=1000,"High",IF(Fact_Table[[#This Row],[0/P Producyivity/Day]]&gt;=500,"Medium","Low"))</f>
        <v>High</v>
      </c>
      <c r="Q467" s="10">
        <f>Fact_Table[[#This Row],[Capacity_BPD]]/Fact_Table[[#This Row],[Average_Salary_AED]]</f>
        <v>34.294190301921319</v>
      </c>
      <c r="R467" s="15">
        <f>(Fact_Table[[#This Row],[Petrol_Output_BPD]]/Fact_Table[[#This Row],[Capacity_BPD]])</f>
        <v>0.3621428600012539</v>
      </c>
      <c r="S467" s="15">
        <f>Fact_Table[[#This Row],[Diesel_Output_BPD]]/Fact_Table[[#This Row],[Capacity_BPD]]</f>
        <v>0.4222812407042556</v>
      </c>
      <c r="T467" s="15">
        <f>Fact_Table[[#This Row],[Gas_Output_BPD]]/Fact_Table[[#This Row],[Capacity_BPD]]</f>
        <v>0.21557323145753271</v>
      </c>
      <c r="U467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67" s="8">
        <f ca="1">YEAR(TODAY())-Fact_Table[[#This Row],[Commissioned_Year]]</f>
        <v>42</v>
      </c>
      <c r="W467" s="40" cm="1">
        <f t="array" ref="W467">_xlfn.XLOOKUP(Fact_Table[[#This Row],[Commissioned_Year]],cost_table[[#All],[Year]],cost_table[[#All],[Average_Crude_Price_USD_per_Barrel]],"0")</f>
        <v>29</v>
      </c>
      <c r="X467" s="40">
        <f>Fact_Table[[#This Row],[Capacity_BPD]]*Fact_Table[[#This Row],[cost per barrel]]</f>
        <v>21740459</v>
      </c>
    </row>
    <row r="468" spans="1:24" x14ac:dyDescent="0.35">
      <c r="A468" t="s">
        <v>36</v>
      </c>
      <c r="B468" t="s">
        <v>32</v>
      </c>
      <c r="C468" t="s">
        <v>50</v>
      </c>
      <c r="D468" s="5">
        <v>440250</v>
      </c>
      <c r="E468" s="5">
        <v>1980</v>
      </c>
      <c r="F468" s="5">
        <v>1568</v>
      </c>
      <c r="G468" s="3" t="s">
        <v>31</v>
      </c>
      <c r="H468" s="4">
        <v>7.06</v>
      </c>
      <c r="I468" s="4">
        <v>7.17</v>
      </c>
      <c r="J468" s="5">
        <v>206009</v>
      </c>
      <c r="K468" s="5">
        <v>146357</v>
      </c>
      <c r="L468" s="5">
        <v>87882</v>
      </c>
      <c r="M468" s="3" t="s">
        <v>17</v>
      </c>
      <c r="N468" s="10">
        <v>13472</v>
      </c>
      <c r="O468" s="12">
        <f>(Fact_Table[[#This Row],[Petrol_Output_BPD]]+Fact_Table[[#This Row],[Diesel_Output_BPD]]+Fact_Table[[#This Row],[Gas_Output_BPD]])/Fact_Table[[#This Row],[No_of_Employees]]</f>
        <v>280.7704081632653</v>
      </c>
      <c r="P468" s="2" t="str">
        <f>IF(Fact_Table[[#This Row],[0/P Producyivity/Day]]&gt;=1000,"High",IF(Fact_Table[[#This Row],[0/P Producyivity/Day]]&gt;=500,"Medium","Low"))</f>
        <v>Low</v>
      </c>
      <c r="Q468" s="10">
        <f>Fact_Table[[#This Row],[Capacity_BPD]]/Fact_Table[[#This Row],[Average_Salary_AED]]</f>
        <v>32.67888954869359</v>
      </c>
      <c r="R468" s="15">
        <f>(Fact_Table[[#This Row],[Petrol_Output_BPD]]/Fact_Table[[#This Row],[Capacity_BPD]])</f>
        <v>0.46793639977285634</v>
      </c>
      <c r="S468" s="15">
        <f>Fact_Table[[#This Row],[Diesel_Output_BPD]]/Fact_Table[[#This Row],[Capacity_BPD]]</f>
        <v>0.33244065871663825</v>
      </c>
      <c r="T468" s="15">
        <f>Fact_Table[[#This Row],[Gas_Output_BPD]]/Fact_Table[[#This Row],[Capacity_BPD]]</f>
        <v>0.19961839863713798</v>
      </c>
      <c r="U46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68" s="8">
        <f ca="1">YEAR(TODAY())-Fact_Table[[#This Row],[Commissioned_Year]]</f>
        <v>45</v>
      </c>
      <c r="W468" s="40" cm="1">
        <f t="array" ref="W468">_xlfn.XLOOKUP(Fact_Table[[#This Row],[Commissioned_Year]],cost_table[[#All],[Year]],cost_table[[#All],[Average_Crude_Price_USD_per_Barrel]],"0")</f>
        <v>36.799999999999997</v>
      </c>
      <c r="X468" s="40">
        <f>Fact_Table[[#This Row],[Capacity_BPD]]*Fact_Table[[#This Row],[cost per barrel]]</f>
        <v>16201199.999999998</v>
      </c>
    </row>
    <row r="469" spans="1:24" x14ac:dyDescent="0.35">
      <c r="A469" t="s">
        <v>35</v>
      </c>
      <c r="B469" t="s">
        <v>40</v>
      </c>
      <c r="C469" t="s">
        <v>47</v>
      </c>
      <c r="D469" s="5">
        <v>732218</v>
      </c>
      <c r="E469" s="5">
        <v>1980</v>
      </c>
      <c r="F469" s="5">
        <v>1376</v>
      </c>
      <c r="G469" s="3" t="s">
        <v>28</v>
      </c>
      <c r="H469" s="4">
        <v>5.51</v>
      </c>
      <c r="I469" s="4">
        <v>5.18</v>
      </c>
      <c r="J469" s="5">
        <v>259105</v>
      </c>
      <c r="K469" s="5">
        <v>385519</v>
      </c>
      <c r="L469" s="5">
        <v>87593</v>
      </c>
      <c r="M469" s="3" t="s">
        <v>29</v>
      </c>
      <c r="N469" s="10">
        <v>8134</v>
      </c>
      <c r="O469" s="12">
        <f>(Fact_Table[[#This Row],[Petrol_Output_BPD]]+Fact_Table[[#This Row],[Diesel_Output_BPD]]+Fact_Table[[#This Row],[Gas_Output_BPD]])/Fact_Table[[#This Row],[No_of_Employees]]</f>
        <v>532.13444767441865</v>
      </c>
      <c r="P469" s="2" t="str">
        <f>IF(Fact_Table[[#This Row],[0/P Producyivity/Day]]&gt;=1000,"High",IF(Fact_Table[[#This Row],[0/P Producyivity/Day]]&gt;=500,"Medium","Low"))</f>
        <v>Medium</v>
      </c>
      <c r="Q469" s="10">
        <f>Fact_Table[[#This Row],[Capacity_BPD]]/Fact_Table[[#This Row],[Average_Salary_AED]]</f>
        <v>90.019424637324803</v>
      </c>
      <c r="R469" s="15">
        <f>(Fact_Table[[#This Row],[Petrol_Output_BPD]]/Fact_Table[[#This Row],[Capacity_BPD]])</f>
        <v>0.35386319374830993</v>
      </c>
      <c r="S469" s="15">
        <f>Fact_Table[[#This Row],[Diesel_Output_BPD]]/Fact_Table[[#This Row],[Capacity_BPD]]</f>
        <v>0.52650849883504636</v>
      </c>
      <c r="T469" s="15">
        <f>Fact_Table[[#This Row],[Gas_Output_BPD]]/Fact_Table[[#This Row],[Capacity_BPD]]</f>
        <v>0.11962694170315398</v>
      </c>
      <c r="U469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69" s="8">
        <f ca="1">YEAR(TODAY())-Fact_Table[[#This Row],[Commissioned_Year]]</f>
        <v>45</v>
      </c>
      <c r="W469" s="40" cm="1">
        <f t="array" ref="W469">_xlfn.XLOOKUP(Fact_Table[[#This Row],[Commissioned_Year]],cost_table[[#All],[Year]],cost_table[[#All],[Average_Crude_Price_USD_per_Barrel]],"0")</f>
        <v>36.799999999999997</v>
      </c>
      <c r="X469" s="40">
        <f>Fact_Table[[#This Row],[Capacity_BPD]]*Fact_Table[[#This Row],[cost per barrel]]</f>
        <v>26945622.399999999</v>
      </c>
    </row>
    <row r="470" spans="1:24" x14ac:dyDescent="0.35">
      <c r="A470" t="s">
        <v>27</v>
      </c>
      <c r="B470" t="s">
        <v>25</v>
      </c>
      <c r="C470" t="s">
        <v>50</v>
      </c>
      <c r="D470" s="5">
        <v>567995</v>
      </c>
      <c r="E470" s="5">
        <v>2017</v>
      </c>
      <c r="F470" s="5">
        <v>586</v>
      </c>
      <c r="G470" s="3" t="s">
        <v>16</v>
      </c>
      <c r="H470" s="4">
        <v>13.77</v>
      </c>
      <c r="I470" s="4">
        <v>6.59</v>
      </c>
      <c r="J470" s="5">
        <v>253319</v>
      </c>
      <c r="K470" s="5">
        <v>220076</v>
      </c>
      <c r="L470" s="5">
        <v>94599</v>
      </c>
      <c r="M470" s="3" t="s">
        <v>23</v>
      </c>
      <c r="N470" s="10">
        <v>8599</v>
      </c>
      <c r="O470" s="12">
        <f>(Fact_Table[[#This Row],[Petrol_Output_BPD]]+Fact_Table[[#This Row],[Diesel_Output_BPD]]+Fact_Table[[#This Row],[Gas_Output_BPD]])/Fact_Table[[#This Row],[No_of_Employees]]</f>
        <v>969.27303754266211</v>
      </c>
      <c r="P470" s="2" t="str">
        <f>IF(Fact_Table[[#This Row],[0/P Producyivity/Day]]&gt;=1000,"High",IF(Fact_Table[[#This Row],[0/P Producyivity/Day]]&gt;=500,"Medium","Low"))</f>
        <v>Medium</v>
      </c>
      <c r="Q470" s="10">
        <f>Fact_Table[[#This Row],[Capacity_BPD]]/Fact_Table[[#This Row],[Average_Salary_AED]]</f>
        <v>66.053610884986625</v>
      </c>
      <c r="R470" s="15">
        <f>(Fact_Table[[#This Row],[Petrol_Output_BPD]]/Fact_Table[[#This Row],[Capacity_BPD]])</f>
        <v>0.44598808088099368</v>
      </c>
      <c r="S470" s="15">
        <f>Fact_Table[[#This Row],[Diesel_Output_BPD]]/Fact_Table[[#This Row],[Capacity_BPD]]</f>
        <v>0.38746115722849672</v>
      </c>
      <c r="T470" s="15">
        <f>Fact_Table[[#This Row],[Gas_Output_BPD]]/Fact_Table[[#This Row],[Capacity_BPD]]</f>
        <v>0.16654900131163125</v>
      </c>
      <c r="U470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70" s="8">
        <f ca="1">YEAR(TODAY())-Fact_Table[[#This Row],[Commissioned_Year]]</f>
        <v>8</v>
      </c>
      <c r="W470" s="40" cm="1">
        <f t="array" ref="W470">_xlfn.XLOOKUP(Fact_Table[[#This Row],[Commissioned_Year]],cost_table[[#All],[Year]],cost_table[[#All],[Average_Crude_Price_USD_per_Barrel]],"0")</f>
        <v>71.3</v>
      </c>
      <c r="X470" s="40">
        <f>Fact_Table[[#This Row],[Capacity_BPD]]*Fact_Table[[#This Row],[cost per barrel]]</f>
        <v>40498043.5</v>
      </c>
    </row>
    <row r="471" spans="1:24" x14ac:dyDescent="0.35">
      <c r="A471" t="s">
        <v>27</v>
      </c>
      <c r="B471" t="s">
        <v>25</v>
      </c>
      <c r="C471" t="s">
        <v>51</v>
      </c>
      <c r="D471" s="5">
        <v>444786</v>
      </c>
      <c r="E471" s="5">
        <v>1981</v>
      </c>
      <c r="F471" s="5">
        <v>1136</v>
      </c>
      <c r="G471" s="3" t="s">
        <v>31</v>
      </c>
      <c r="H471" s="4">
        <v>17.12</v>
      </c>
      <c r="I471" s="4">
        <v>8.3800000000000008</v>
      </c>
      <c r="J471" s="5">
        <v>164406</v>
      </c>
      <c r="K471" s="5">
        <v>227500</v>
      </c>
      <c r="L471" s="5">
        <v>52878</v>
      </c>
      <c r="M471" s="3" t="s">
        <v>38</v>
      </c>
      <c r="N471" s="10">
        <v>18495</v>
      </c>
      <c r="O471" s="12">
        <f>(Fact_Table[[#This Row],[Petrol_Output_BPD]]+Fact_Table[[#This Row],[Diesel_Output_BPD]]+Fact_Table[[#This Row],[Gas_Output_BPD]])/Fact_Table[[#This Row],[No_of_Employees]]</f>
        <v>391.53521126760563</v>
      </c>
      <c r="P471" s="2" t="str">
        <f>IF(Fact_Table[[#This Row],[0/P Producyivity/Day]]&gt;=1000,"High",IF(Fact_Table[[#This Row],[0/P Producyivity/Day]]&gt;=500,"Medium","Low"))</f>
        <v>Low</v>
      </c>
      <c r="Q471" s="10">
        <f>Fact_Table[[#This Row],[Capacity_BPD]]/Fact_Table[[#This Row],[Average_Salary_AED]]</f>
        <v>24.048986212489861</v>
      </c>
      <c r="R471" s="15">
        <f>(Fact_Table[[#This Row],[Petrol_Output_BPD]]/Fact_Table[[#This Row],[Capacity_BPD]])</f>
        <v>0.36962943977553248</v>
      </c>
      <c r="S471" s="15">
        <f>Fact_Table[[#This Row],[Diesel_Output_BPD]]/Fact_Table[[#This Row],[Capacity_BPD]]</f>
        <v>0.51148192613976162</v>
      </c>
      <c r="T471" s="15">
        <f>Fact_Table[[#This Row],[Gas_Output_BPD]]/Fact_Table[[#This Row],[Capacity_BPD]]</f>
        <v>0.11888413754030028</v>
      </c>
      <c r="U471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71" s="8">
        <f ca="1">YEAR(TODAY())-Fact_Table[[#This Row],[Commissioned_Year]]</f>
        <v>44</v>
      </c>
      <c r="W471" s="40" cm="1">
        <f t="array" ref="W471">_xlfn.XLOOKUP(Fact_Table[[#This Row],[Commissioned_Year]],cost_table[[#All],[Year]],cost_table[[#All],[Average_Crude_Price_USD_per_Barrel]],"0")</f>
        <v>35.700000000000003</v>
      </c>
      <c r="X471" s="40">
        <f>Fact_Table[[#This Row],[Capacity_BPD]]*Fact_Table[[#This Row],[cost per barrel]]</f>
        <v>15878860.200000001</v>
      </c>
    </row>
    <row r="472" spans="1:24" x14ac:dyDescent="0.35">
      <c r="A472" t="s">
        <v>27</v>
      </c>
      <c r="B472" t="s">
        <v>25</v>
      </c>
      <c r="C472" t="s">
        <v>15</v>
      </c>
      <c r="D472" s="5">
        <v>777455</v>
      </c>
      <c r="E472" s="5">
        <v>2005</v>
      </c>
      <c r="F472" s="5">
        <v>1829</v>
      </c>
      <c r="G472" s="3" t="s">
        <v>28</v>
      </c>
      <c r="H472" s="4">
        <v>22.35</v>
      </c>
      <c r="I472" s="4">
        <v>7.4</v>
      </c>
      <c r="J472" s="5">
        <v>369031</v>
      </c>
      <c r="K472" s="5">
        <v>324242</v>
      </c>
      <c r="L472" s="5">
        <v>84181</v>
      </c>
      <c r="M472" s="3" t="s">
        <v>23</v>
      </c>
      <c r="N472" s="10">
        <v>22595</v>
      </c>
      <c r="O472" s="12">
        <f>(Fact_Table[[#This Row],[Petrol_Output_BPD]]+Fact_Table[[#This Row],[Diesel_Output_BPD]]+Fact_Table[[#This Row],[Gas_Output_BPD]])/Fact_Table[[#This Row],[No_of_Employees]]</f>
        <v>425.0705303444505</v>
      </c>
      <c r="P472" s="2" t="str">
        <f>IF(Fact_Table[[#This Row],[0/P Producyivity/Day]]&gt;=1000,"High",IF(Fact_Table[[#This Row],[0/P Producyivity/Day]]&gt;=500,"Medium","Low"))</f>
        <v>Low</v>
      </c>
      <c r="Q472" s="10">
        <f>Fact_Table[[#This Row],[Capacity_BPD]]/Fact_Table[[#This Row],[Average_Salary_AED]]</f>
        <v>34.40827616729365</v>
      </c>
      <c r="R472" s="15">
        <f>(Fact_Table[[#This Row],[Petrol_Output_BPD]]/Fact_Table[[#This Row],[Capacity_BPD]])</f>
        <v>0.47466541471853674</v>
      </c>
      <c r="S472" s="15">
        <f>Fact_Table[[#This Row],[Diesel_Output_BPD]]/Fact_Table[[#This Row],[Capacity_BPD]]</f>
        <v>0.41705564952312352</v>
      </c>
      <c r="T472" s="15">
        <f>Fact_Table[[#This Row],[Gas_Output_BPD]]/Fact_Table[[#This Row],[Capacity_BPD]]</f>
        <v>0.10827764951026105</v>
      </c>
      <c r="U47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72" s="8">
        <f ca="1">YEAR(TODAY())-Fact_Table[[#This Row],[Commissioned_Year]]</f>
        <v>20</v>
      </c>
      <c r="W472" s="40" cm="1">
        <f t="array" ref="W472">_xlfn.XLOOKUP(Fact_Table[[#This Row],[Commissioned_Year]],cost_table[[#All],[Year]],cost_table[[#All],[Average_Crude_Price_USD_per_Barrel]],"0")</f>
        <v>25</v>
      </c>
      <c r="X472" s="40">
        <f>Fact_Table[[#This Row],[Capacity_BPD]]*Fact_Table[[#This Row],[cost per barrel]]</f>
        <v>19436375</v>
      </c>
    </row>
    <row r="473" spans="1:24" x14ac:dyDescent="0.35">
      <c r="A473" t="s">
        <v>60</v>
      </c>
      <c r="B473" t="s">
        <v>32</v>
      </c>
      <c r="C473" t="s">
        <v>39</v>
      </c>
      <c r="D473" s="5">
        <v>854914</v>
      </c>
      <c r="E473" s="5">
        <v>2021</v>
      </c>
      <c r="F473" s="5">
        <v>1304</v>
      </c>
      <c r="G473" s="3" t="s">
        <v>28</v>
      </c>
      <c r="H473" s="4">
        <v>30.51</v>
      </c>
      <c r="I473" s="4">
        <v>6.25</v>
      </c>
      <c r="J473" s="5">
        <v>324721</v>
      </c>
      <c r="K473" s="5">
        <v>332979</v>
      </c>
      <c r="L473" s="5">
        <v>197213</v>
      </c>
      <c r="M473" s="3" t="s">
        <v>38</v>
      </c>
      <c r="N473" s="10">
        <v>19817</v>
      </c>
      <c r="O473" s="12">
        <f>(Fact_Table[[#This Row],[Petrol_Output_BPD]]+Fact_Table[[#This Row],[Diesel_Output_BPD]]+Fact_Table[[#This Row],[Gas_Output_BPD]])/Fact_Table[[#This Row],[No_of_Employees]]</f>
        <v>655.60812883435585</v>
      </c>
      <c r="P473" s="2" t="str">
        <f>IF(Fact_Table[[#This Row],[0/P Producyivity/Day]]&gt;=1000,"High",IF(Fact_Table[[#This Row],[0/P Producyivity/Day]]&gt;=500,"Medium","Low"))</f>
        <v>Medium</v>
      </c>
      <c r="Q473" s="10">
        <f>Fact_Table[[#This Row],[Capacity_BPD]]/Fact_Table[[#This Row],[Average_Salary_AED]]</f>
        <v>43.140434980067617</v>
      </c>
      <c r="R473" s="15">
        <f>(Fact_Table[[#This Row],[Petrol_Output_BPD]]/Fact_Table[[#This Row],[Capacity_BPD]])</f>
        <v>0.37982884828181546</v>
      </c>
      <c r="S473" s="15">
        <f>Fact_Table[[#This Row],[Diesel_Output_BPD]]/Fact_Table[[#This Row],[Capacity_BPD]]</f>
        <v>0.38948829940789365</v>
      </c>
      <c r="T473" s="15">
        <f>Fact_Table[[#This Row],[Gas_Output_BPD]]/Fact_Table[[#This Row],[Capacity_BPD]]</f>
        <v>0.2306816826019927</v>
      </c>
      <c r="U473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73" s="8">
        <f ca="1">YEAR(TODAY())-Fact_Table[[#This Row],[Commissioned_Year]]</f>
        <v>4</v>
      </c>
      <c r="W473" s="40" cm="1">
        <f t="array" ref="W473">_xlfn.XLOOKUP(Fact_Table[[#This Row],[Commissioned_Year]],cost_table[[#All],[Year]],cost_table[[#All],[Average_Crude_Price_USD_per_Barrel]],"0")</f>
        <v>54.2</v>
      </c>
      <c r="X473" s="40">
        <f>Fact_Table[[#This Row],[Capacity_BPD]]*Fact_Table[[#This Row],[cost per barrel]]</f>
        <v>46336338.800000004</v>
      </c>
    </row>
    <row r="474" spans="1:24" x14ac:dyDescent="0.35">
      <c r="A474" t="s">
        <v>45</v>
      </c>
      <c r="B474" t="s">
        <v>32</v>
      </c>
      <c r="C474" t="s">
        <v>15</v>
      </c>
      <c r="D474" s="5">
        <v>624918</v>
      </c>
      <c r="E474" s="5">
        <v>1997</v>
      </c>
      <c r="F474" s="5">
        <v>1422</v>
      </c>
      <c r="G474" s="3" t="s">
        <v>31</v>
      </c>
      <c r="H474" s="4">
        <v>20.97</v>
      </c>
      <c r="I474" s="4">
        <v>8.4700000000000006</v>
      </c>
      <c r="J474" s="5">
        <v>205132</v>
      </c>
      <c r="K474" s="5">
        <v>335873</v>
      </c>
      <c r="L474" s="5">
        <v>83911</v>
      </c>
      <c r="M474" s="3" t="s">
        <v>29</v>
      </c>
      <c r="N474" s="10">
        <v>12666</v>
      </c>
      <c r="O474" s="12">
        <f>(Fact_Table[[#This Row],[Petrol_Output_BPD]]+Fact_Table[[#This Row],[Diesel_Output_BPD]]+Fact_Table[[#This Row],[Gas_Output_BPD]])/Fact_Table[[#This Row],[No_of_Employees]]</f>
        <v>439.46272855133617</v>
      </c>
      <c r="P474" s="2" t="str">
        <f>IF(Fact_Table[[#This Row],[0/P Producyivity/Day]]&gt;=1000,"High",IF(Fact_Table[[#This Row],[0/P Producyivity/Day]]&gt;=500,"Medium","Low"))</f>
        <v>Low</v>
      </c>
      <c r="Q474" s="10">
        <f>Fact_Table[[#This Row],[Capacity_BPD]]/Fact_Table[[#This Row],[Average_Salary_AED]]</f>
        <v>49.338228327806725</v>
      </c>
      <c r="R474" s="15">
        <f>(Fact_Table[[#This Row],[Petrol_Output_BPD]]/Fact_Table[[#This Row],[Capacity_BPD]])</f>
        <v>0.32825426695982513</v>
      </c>
      <c r="S474" s="15">
        <f>Fact_Table[[#This Row],[Diesel_Output_BPD]]/Fact_Table[[#This Row],[Capacity_BPD]]</f>
        <v>0.53746731571182138</v>
      </c>
      <c r="T474" s="15">
        <f>Fact_Table[[#This Row],[Gas_Output_BPD]]/Fact_Table[[#This Row],[Capacity_BPD]]</f>
        <v>0.13427521690845839</v>
      </c>
      <c r="U474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74" s="8">
        <f ca="1">YEAR(TODAY())-Fact_Table[[#This Row],[Commissioned_Year]]</f>
        <v>28</v>
      </c>
      <c r="W474" s="40" cm="1">
        <f t="array" ref="W474">_xlfn.XLOOKUP(Fact_Table[[#This Row],[Commissioned_Year]],cost_table[[#All],[Year]],cost_table[[#All],[Average_Crude_Price_USD_per_Barrel]],"0")</f>
        <v>15</v>
      </c>
      <c r="X474" s="40">
        <f>Fact_Table[[#This Row],[Capacity_BPD]]*Fact_Table[[#This Row],[cost per barrel]]</f>
        <v>9373770</v>
      </c>
    </row>
    <row r="475" spans="1:24" x14ac:dyDescent="0.35">
      <c r="A475" t="s">
        <v>18</v>
      </c>
      <c r="B475" t="s">
        <v>19</v>
      </c>
      <c r="C475" t="s">
        <v>39</v>
      </c>
      <c r="D475" s="5">
        <v>590752</v>
      </c>
      <c r="E475" s="5">
        <v>2018</v>
      </c>
      <c r="F475" s="5">
        <v>1300</v>
      </c>
      <c r="G475" s="3" t="s">
        <v>16</v>
      </c>
      <c r="H475" s="4">
        <v>18.09</v>
      </c>
      <c r="I475" s="4">
        <v>7.6</v>
      </c>
      <c r="J475" s="5">
        <v>224909</v>
      </c>
      <c r="K475" s="5">
        <v>289366</v>
      </c>
      <c r="L475" s="5">
        <v>76476</v>
      </c>
      <c r="M475" s="3" t="s">
        <v>17</v>
      </c>
      <c r="N475" s="10">
        <v>13713</v>
      </c>
      <c r="O475" s="12">
        <f>(Fact_Table[[#This Row],[Petrol_Output_BPD]]+Fact_Table[[#This Row],[Diesel_Output_BPD]]+Fact_Table[[#This Row],[Gas_Output_BPD]])/Fact_Table[[#This Row],[No_of_Employees]]</f>
        <v>454.42384615384617</v>
      </c>
      <c r="P475" s="2" t="str">
        <f>IF(Fact_Table[[#This Row],[0/P Producyivity/Day]]&gt;=1000,"High",IF(Fact_Table[[#This Row],[0/P Producyivity/Day]]&gt;=500,"Medium","Low"))</f>
        <v>Low</v>
      </c>
      <c r="Q475" s="10">
        <f>Fact_Table[[#This Row],[Capacity_BPD]]/Fact_Table[[#This Row],[Average_Salary_AED]]</f>
        <v>43.079705389046893</v>
      </c>
      <c r="R475" s="15">
        <f>(Fact_Table[[#This Row],[Petrol_Output_BPD]]/Fact_Table[[#This Row],[Capacity_BPD]])</f>
        <v>0.3807164427712475</v>
      </c>
      <c r="S475" s="15">
        <f>Fact_Table[[#This Row],[Diesel_Output_BPD]]/Fact_Table[[#This Row],[Capacity_BPD]]</f>
        <v>0.48982652619034722</v>
      </c>
      <c r="T475" s="15">
        <f>Fact_Table[[#This Row],[Gas_Output_BPD]]/Fact_Table[[#This Row],[Capacity_BPD]]</f>
        <v>0.12945533828069986</v>
      </c>
      <c r="U475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75" s="8">
        <f ca="1">YEAR(TODAY())-Fact_Table[[#This Row],[Commissioned_Year]]</f>
        <v>7</v>
      </c>
      <c r="W475" s="40" cm="1">
        <f t="array" ref="W475">_xlfn.XLOOKUP(Fact_Table[[#This Row],[Commissioned_Year]],cost_table[[#All],[Year]],cost_table[[#All],[Average_Crude_Price_USD_per_Barrel]],"0")</f>
        <v>100.2</v>
      </c>
      <c r="X475" s="40">
        <f>Fact_Table[[#This Row],[Capacity_BPD]]*Fact_Table[[#This Row],[cost per barrel]]</f>
        <v>59193350.399999999</v>
      </c>
    </row>
    <row r="476" spans="1:24" x14ac:dyDescent="0.35">
      <c r="A476" t="s">
        <v>18</v>
      </c>
      <c r="B476" t="s">
        <v>25</v>
      </c>
      <c r="C476" t="s">
        <v>33</v>
      </c>
      <c r="D476" s="5">
        <v>874277</v>
      </c>
      <c r="E476" s="5">
        <v>1992</v>
      </c>
      <c r="F476" s="5">
        <v>1975</v>
      </c>
      <c r="G476" s="3" t="s">
        <v>16</v>
      </c>
      <c r="H476" s="4">
        <v>34.75</v>
      </c>
      <c r="I476" s="4">
        <v>7.49</v>
      </c>
      <c r="J476" s="5">
        <v>322154</v>
      </c>
      <c r="K476" s="5">
        <v>360461</v>
      </c>
      <c r="L476" s="5">
        <v>191661</v>
      </c>
      <c r="M476" s="3" t="s">
        <v>29</v>
      </c>
      <c r="N476" s="10">
        <v>10521</v>
      </c>
      <c r="O476" s="12">
        <f>(Fact_Table[[#This Row],[Petrol_Output_BPD]]+Fact_Table[[#This Row],[Diesel_Output_BPD]]+Fact_Table[[#This Row],[Gas_Output_BPD]])/Fact_Table[[#This Row],[No_of_Employees]]</f>
        <v>442.67139240506327</v>
      </c>
      <c r="P476" s="2" t="str">
        <f>IF(Fact_Table[[#This Row],[0/P Producyivity/Day]]&gt;=1000,"High",IF(Fact_Table[[#This Row],[0/P Producyivity/Day]]&gt;=500,"Medium","Low"))</f>
        <v>Low</v>
      </c>
      <c r="Q476" s="10">
        <f>Fact_Table[[#This Row],[Capacity_BPD]]/Fact_Table[[#This Row],[Average_Salary_AED]]</f>
        <v>83.098279631213757</v>
      </c>
      <c r="R476" s="15">
        <f>(Fact_Table[[#This Row],[Petrol_Output_BPD]]/Fact_Table[[#This Row],[Capacity_BPD]])</f>
        <v>0.36848047014847696</v>
      </c>
      <c r="S476" s="15">
        <f>Fact_Table[[#This Row],[Diesel_Output_BPD]]/Fact_Table[[#This Row],[Capacity_BPD]]</f>
        <v>0.41229610295135294</v>
      </c>
      <c r="T476" s="15">
        <f>Fact_Table[[#This Row],[Gas_Output_BPD]]/Fact_Table[[#This Row],[Capacity_BPD]]</f>
        <v>0.21922228309791977</v>
      </c>
      <c r="U47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76" s="8">
        <f ca="1">YEAR(TODAY())-Fact_Table[[#This Row],[Commissioned_Year]]</f>
        <v>33</v>
      </c>
      <c r="W476" s="40" cm="1">
        <f t="array" ref="W476">_xlfn.XLOOKUP(Fact_Table[[#This Row],[Commissioned_Year]],cost_table[[#All],[Year]],cost_table[[#All],[Average_Crude_Price_USD_per_Barrel]],"0")</f>
        <v>14.4</v>
      </c>
      <c r="X476" s="40">
        <f>Fact_Table[[#This Row],[Capacity_BPD]]*Fact_Table[[#This Row],[cost per barrel]]</f>
        <v>12589588.800000001</v>
      </c>
    </row>
    <row r="477" spans="1:24" x14ac:dyDescent="0.35">
      <c r="A477" t="s">
        <v>24</v>
      </c>
      <c r="B477" t="s">
        <v>14</v>
      </c>
      <c r="C477" t="s">
        <v>51</v>
      </c>
      <c r="D477" s="5">
        <v>790610</v>
      </c>
      <c r="E477" s="5">
        <v>1989</v>
      </c>
      <c r="F477" s="5">
        <v>1353</v>
      </c>
      <c r="G477" s="3" t="s">
        <v>28</v>
      </c>
      <c r="H477" s="4">
        <v>4.83</v>
      </c>
      <c r="I477" s="4">
        <v>8.5</v>
      </c>
      <c r="J477" s="5">
        <v>259542</v>
      </c>
      <c r="K477" s="5">
        <v>370887</v>
      </c>
      <c r="L477" s="5">
        <v>160179</v>
      </c>
      <c r="M477" s="3" t="s">
        <v>34</v>
      </c>
      <c r="N477" s="10">
        <v>23892</v>
      </c>
      <c r="O477" s="12">
        <f>(Fact_Table[[#This Row],[Petrol_Output_BPD]]+Fact_Table[[#This Row],[Diesel_Output_BPD]]+Fact_Table[[#This Row],[Gas_Output_BPD]])/Fact_Table[[#This Row],[No_of_Employees]]</f>
        <v>584.33702882483374</v>
      </c>
      <c r="P477" s="2" t="str">
        <f>IF(Fact_Table[[#This Row],[0/P Producyivity/Day]]&gt;=1000,"High",IF(Fact_Table[[#This Row],[0/P Producyivity/Day]]&gt;=500,"Medium","Low"))</f>
        <v>Medium</v>
      </c>
      <c r="Q477" s="10">
        <f>Fact_Table[[#This Row],[Capacity_BPD]]/Fact_Table[[#This Row],[Average_Salary_AED]]</f>
        <v>33.090992800937549</v>
      </c>
      <c r="R477" s="15">
        <f>(Fact_Table[[#This Row],[Petrol_Output_BPD]]/Fact_Table[[#This Row],[Capacity_BPD]])</f>
        <v>0.32828069465349541</v>
      </c>
      <c r="S477" s="15">
        <f>Fact_Table[[#This Row],[Diesel_Output_BPD]]/Fact_Table[[#This Row],[Capacity_BPD]]</f>
        <v>0.46911498716181177</v>
      </c>
      <c r="T477" s="15">
        <f>Fact_Table[[#This Row],[Gas_Output_BPD]]/Fact_Table[[#This Row],[Capacity_BPD]]</f>
        <v>0.20260178849242991</v>
      </c>
      <c r="U477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77" s="8">
        <f ca="1">YEAR(TODAY())-Fact_Table[[#This Row],[Commissioned_Year]]</f>
        <v>36</v>
      </c>
      <c r="W477" s="40" cm="1">
        <f t="array" ref="W477">_xlfn.XLOOKUP(Fact_Table[[#This Row],[Commissioned_Year]],cost_table[[#All],[Year]],cost_table[[#All],[Average_Crude_Price_USD_per_Barrel]],"0")</f>
        <v>18.2</v>
      </c>
      <c r="X477" s="40">
        <f>Fact_Table[[#This Row],[Capacity_BPD]]*Fact_Table[[#This Row],[cost per barrel]]</f>
        <v>14389102</v>
      </c>
    </row>
    <row r="478" spans="1:24" x14ac:dyDescent="0.35">
      <c r="A478" t="s">
        <v>22</v>
      </c>
      <c r="B478" t="s">
        <v>19</v>
      </c>
      <c r="C478" t="s">
        <v>50</v>
      </c>
      <c r="D478" s="5">
        <v>554301</v>
      </c>
      <c r="E478" s="5">
        <v>1998</v>
      </c>
      <c r="F478" s="5">
        <v>2384</v>
      </c>
      <c r="G478" s="3" t="s">
        <v>31</v>
      </c>
      <c r="H478" s="4">
        <v>23.76</v>
      </c>
      <c r="I478" s="4">
        <v>7.35</v>
      </c>
      <c r="J478" s="5">
        <v>240750</v>
      </c>
      <c r="K478" s="5">
        <v>252124</v>
      </c>
      <c r="L478" s="5">
        <v>61426</v>
      </c>
      <c r="M478" s="3" t="s">
        <v>17</v>
      </c>
      <c r="N478" s="10">
        <v>20566</v>
      </c>
      <c r="O478" s="12">
        <f>(Fact_Table[[#This Row],[Petrol_Output_BPD]]+Fact_Table[[#This Row],[Diesel_Output_BPD]]+Fact_Table[[#This Row],[Gas_Output_BPD]])/Fact_Table[[#This Row],[No_of_Employees]]</f>
        <v>232.50838926174498</v>
      </c>
      <c r="P478" s="2" t="str">
        <f>IF(Fact_Table[[#This Row],[0/P Producyivity/Day]]&gt;=1000,"High",IF(Fact_Table[[#This Row],[0/P Producyivity/Day]]&gt;=500,"Medium","Low"))</f>
        <v>Low</v>
      </c>
      <c r="Q478" s="10">
        <f>Fact_Table[[#This Row],[Capacity_BPD]]/Fact_Table[[#This Row],[Average_Salary_AED]]</f>
        <v>26.952299912476903</v>
      </c>
      <c r="R478" s="15">
        <f>(Fact_Table[[#This Row],[Petrol_Output_BPD]]/Fact_Table[[#This Row],[Capacity_BPD]])</f>
        <v>0.43433080582571565</v>
      </c>
      <c r="S478" s="15">
        <f>Fact_Table[[#This Row],[Diesel_Output_BPD]]/Fact_Table[[#This Row],[Capacity_BPD]]</f>
        <v>0.45485034304466349</v>
      </c>
      <c r="T478" s="15">
        <f>Fact_Table[[#This Row],[Gas_Output_BPD]]/Fact_Table[[#This Row],[Capacity_BPD]]</f>
        <v>0.11081704705566109</v>
      </c>
      <c r="U47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78" s="8">
        <f ca="1">YEAR(TODAY())-Fact_Table[[#This Row],[Commissioned_Year]]</f>
        <v>27</v>
      </c>
      <c r="W478" s="40" cm="1">
        <f t="array" ref="W478">_xlfn.XLOOKUP(Fact_Table[[#This Row],[Commissioned_Year]],cost_table[[#All],[Year]],cost_table[[#All],[Average_Crude_Price_USD_per_Barrel]],"0")</f>
        <v>12.8</v>
      </c>
      <c r="X478" s="40">
        <f>Fact_Table[[#This Row],[Capacity_BPD]]*Fact_Table[[#This Row],[cost per barrel]]</f>
        <v>7095052.8000000007</v>
      </c>
    </row>
    <row r="479" spans="1:24" x14ac:dyDescent="0.35">
      <c r="A479" t="s">
        <v>22</v>
      </c>
      <c r="B479" t="s">
        <v>40</v>
      </c>
      <c r="C479" t="s">
        <v>51</v>
      </c>
      <c r="D479" s="5">
        <v>624086</v>
      </c>
      <c r="E479" s="5">
        <v>1992</v>
      </c>
      <c r="F479" s="5">
        <v>327</v>
      </c>
      <c r="G479" s="3" t="s">
        <v>21</v>
      </c>
      <c r="H479" s="4">
        <v>11.9</v>
      </c>
      <c r="I479" s="4">
        <v>7.06</v>
      </c>
      <c r="J479" s="5">
        <v>257676</v>
      </c>
      <c r="K479" s="5">
        <v>286855</v>
      </c>
      <c r="L479" s="5">
        <v>79554</v>
      </c>
      <c r="M479" s="3" t="s">
        <v>38</v>
      </c>
      <c r="N479" s="10">
        <v>19156</v>
      </c>
      <c r="O479" s="12">
        <f>(Fact_Table[[#This Row],[Petrol_Output_BPD]]+Fact_Table[[#This Row],[Diesel_Output_BPD]]+Fact_Table[[#This Row],[Gas_Output_BPD]])/Fact_Table[[#This Row],[No_of_Employees]]</f>
        <v>1908.5168195718654</v>
      </c>
      <c r="P479" s="2" t="str">
        <f>IF(Fact_Table[[#This Row],[0/P Producyivity/Day]]&gt;=1000,"High",IF(Fact_Table[[#This Row],[0/P Producyivity/Day]]&gt;=500,"Medium","Low"))</f>
        <v>High</v>
      </c>
      <c r="Q479" s="10">
        <f>Fact_Table[[#This Row],[Capacity_BPD]]/Fact_Table[[#This Row],[Average_Salary_AED]]</f>
        <v>32.579139695134685</v>
      </c>
      <c r="R479" s="15">
        <f>(Fact_Table[[#This Row],[Petrol_Output_BPD]]/Fact_Table[[#This Row],[Capacity_BPD]])</f>
        <v>0.41288540361424547</v>
      </c>
      <c r="S479" s="15">
        <f>Fact_Table[[#This Row],[Diesel_Output_BPD]]/Fact_Table[[#This Row],[Capacity_BPD]]</f>
        <v>0.45964017779600891</v>
      </c>
      <c r="T479" s="15">
        <f>Fact_Table[[#This Row],[Gas_Output_BPD]]/Fact_Table[[#This Row],[Capacity_BPD]]</f>
        <v>0.12747281624647885</v>
      </c>
      <c r="U479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79" s="8">
        <f ca="1">YEAR(TODAY())-Fact_Table[[#This Row],[Commissioned_Year]]</f>
        <v>33</v>
      </c>
      <c r="W479" s="40" cm="1">
        <f t="array" ref="W479">_xlfn.XLOOKUP(Fact_Table[[#This Row],[Commissioned_Year]],cost_table[[#All],[Year]],cost_table[[#All],[Average_Crude_Price_USD_per_Barrel]],"0")</f>
        <v>14.4</v>
      </c>
      <c r="X479" s="40">
        <f>Fact_Table[[#This Row],[Capacity_BPD]]*Fact_Table[[#This Row],[cost per barrel]]</f>
        <v>8986838.4000000004</v>
      </c>
    </row>
    <row r="480" spans="1:24" x14ac:dyDescent="0.35">
      <c r="A480" t="s">
        <v>60</v>
      </c>
      <c r="B480" t="s">
        <v>41</v>
      </c>
      <c r="C480" t="s">
        <v>15</v>
      </c>
      <c r="D480" s="5">
        <v>384052</v>
      </c>
      <c r="E480" s="5">
        <v>2016</v>
      </c>
      <c r="F480" s="5">
        <v>2280</v>
      </c>
      <c r="G480" s="3" t="s">
        <v>16</v>
      </c>
      <c r="H480" s="4">
        <v>10.57</v>
      </c>
      <c r="I480" s="4">
        <v>5.12</v>
      </c>
      <c r="J480" s="5">
        <v>150936</v>
      </c>
      <c r="K480" s="5">
        <v>189983</v>
      </c>
      <c r="L480" s="5">
        <v>43131</v>
      </c>
      <c r="M480" s="3" t="s">
        <v>34</v>
      </c>
      <c r="N480" s="10">
        <v>24799</v>
      </c>
      <c r="O480" s="12">
        <f>(Fact_Table[[#This Row],[Petrol_Output_BPD]]+Fact_Table[[#This Row],[Diesel_Output_BPD]]+Fact_Table[[#This Row],[Gas_Output_BPD]])/Fact_Table[[#This Row],[No_of_Employees]]</f>
        <v>168.44298245614036</v>
      </c>
      <c r="P480" s="2" t="str">
        <f>IF(Fact_Table[[#This Row],[0/P Producyivity/Day]]&gt;=1000,"High",IF(Fact_Table[[#This Row],[0/P Producyivity/Day]]&gt;=500,"Medium","Low"))</f>
        <v>Low</v>
      </c>
      <c r="Q480" s="10">
        <f>Fact_Table[[#This Row],[Capacity_BPD]]/Fact_Table[[#This Row],[Average_Salary_AED]]</f>
        <v>15.486592201298439</v>
      </c>
      <c r="R480" s="15">
        <f>(Fact_Table[[#This Row],[Petrol_Output_BPD]]/Fact_Table[[#This Row],[Capacity_BPD]])</f>
        <v>0.39300927999333424</v>
      </c>
      <c r="S480" s="15">
        <f>Fact_Table[[#This Row],[Diesel_Output_BPD]]/Fact_Table[[#This Row],[Capacity_BPD]]</f>
        <v>0.49468040786143541</v>
      </c>
      <c r="T480" s="15">
        <f>Fact_Table[[#This Row],[Gas_Output_BPD]]/Fact_Table[[#This Row],[Capacity_BPD]]</f>
        <v>0.11230510451709665</v>
      </c>
      <c r="U480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80" s="8">
        <f ca="1">YEAR(TODAY())-Fact_Table[[#This Row],[Commissioned_Year]]</f>
        <v>9</v>
      </c>
      <c r="W480" s="40" cm="1">
        <f t="array" ref="W480">_xlfn.XLOOKUP(Fact_Table[[#This Row],[Commissioned_Year]],cost_table[[#All],[Year]],cost_table[[#All],[Average_Crude_Price_USD_per_Barrel]],"0")</f>
        <v>54.2</v>
      </c>
      <c r="X480" s="40">
        <f>Fact_Table[[#This Row],[Capacity_BPD]]*Fact_Table[[#This Row],[cost per barrel]]</f>
        <v>20815618.400000002</v>
      </c>
    </row>
    <row r="481" spans="1:24" x14ac:dyDescent="0.35">
      <c r="A481" t="s">
        <v>18</v>
      </c>
      <c r="B481" t="s">
        <v>26</v>
      </c>
      <c r="C481" t="s">
        <v>47</v>
      </c>
      <c r="D481" s="5">
        <v>165008</v>
      </c>
      <c r="E481" s="5">
        <v>2008</v>
      </c>
      <c r="F481" s="5">
        <v>446</v>
      </c>
      <c r="G481" s="3" t="s">
        <v>28</v>
      </c>
      <c r="H481" s="4">
        <v>2.14</v>
      </c>
      <c r="I481" s="4">
        <v>6.97</v>
      </c>
      <c r="J481" s="5">
        <v>58677</v>
      </c>
      <c r="K481" s="5">
        <v>70039</v>
      </c>
      <c r="L481" s="5">
        <v>36290</v>
      </c>
      <c r="M481" s="3" t="s">
        <v>34</v>
      </c>
      <c r="N481" s="10">
        <v>22771</v>
      </c>
      <c r="O481" s="12">
        <f>(Fact_Table[[#This Row],[Petrol_Output_BPD]]+Fact_Table[[#This Row],[Diesel_Output_BPD]]+Fact_Table[[#This Row],[Gas_Output_BPD]])/Fact_Table[[#This Row],[No_of_Employees]]</f>
        <v>369.96860986547085</v>
      </c>
      <c r="P481" s="2" t="str">
        <f>IF(Fact_Table[[#This Row],[0/P Producyivity/Day]]&gt;=1000,"High",IF(Fact_Table[[#This Row],[0/P Producyivity/Day]]&gt;=500,"Medium","Low"))</f>
        <v>Low</v>
      </c>
      <c r="Q481" s="10">
        <f>Fact_Table[[#This Row],[Capacity_BPD]]/Fact_Table[[#This Row],[Average_Salary_AED]]</f>
        <v>7.2464099073382808</v>
      </c>
      <c r="R481" s="15">
        <f>(Fact_Table[[#This Row],[Petrol_Output_BPD]]/Fact_Table[[#This Row],[Capacity_BPD]])</f>
        <v>0.35560094056045766</v>
      </c>
      <c r="S481" s="15">
        <f>Fact_Table[[#This Row],[Diesel_Output_BPD]]/Fact_Table[[#This Row],[Capacity_BPD]]</f>
        <v>0.42445820808688062</v>
      </c>
      <c r="T481" s="15">
        <f>Fact_Table[[#This Row],[Gas_Output_BPD]]/Fact_Table[[#This Row],[Capacity_BPD]]</f>
        <v>0.21992873072820712</v>
      </c>
      <c r="U48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81" s="8">
        <f ca="1">YEAR(TODAY())-Fact_Table[[#This Row],[Commissioned_Year]]</f>
        <v>17</v>
      </c>
      <c r="W481" s="40" cm="1">
        <f t="array" ref="W481">_xlfn.XLOOKUP(Fact_Table[[#This Row],[Commissioned_Year]],cost_table[[#All],[Year]],cost_table[[#All],[Average_Crude_Price_USD_per_Barrel]],"0")</f>
        <v>31</v>
      </c>
      <c r="X481" s="40">
        <f>Fact_Table[[#This Row],[Capacity_BPD]]*Fact_Table[[#This Row],[cost per barrel]]</f>
        <v>5115248</v>
      </c>
    </row>
    <row r="482" spans="1:24" x14ac:dyDescent="0.35">
      <c r="A482" t="s">
        <v>24</v>
      </c>
      <c r="B482" t="s">
        <v>40</v>
      </c>
      <c r="C482" t="s">
        <v>33</v>
      </c>
      <c r="D482" s="5">
        <v>776877</v>
      </c>
      <c r="E482" s="5">
        <v>2017</v>
      </c>
      <c r="F482" s="5">
        <v>1772</v>
      </c>
      <c r="G482" s="3" t="s">
        <v>21</v>
      </c>
      <c r="H482" s="4">
        <v>24.92</v>
      </c>
      <c r="I482" s="4">
        <v>7.65</v>
      </c>
      <c r="J482" s="5">
        <v>244009</v>
      </c>
      <c r="K482" s="5">
        <v>426558</v>
      </c>
      <c r="L482" s="5">
        <v>106309</v>
      </c>
      <c r="M482" s="3" t="s">
        <v>29</v>
      </c>
      <c r="N482" s="10">
        <v>17988</v>
      </c>
      <c r="O482" s="12">
        <f>(Fact_Table[[#This Row],[Petrol_Output_BPD]]+Fact_Table[[#This Row],[Diesel_Output_BPD]]+Fact_Table[[#This Row],[Gas_Output_BPD]])/Fact_Table[[#This Row],[No_of_Employees]]</f>
        <v>438.4176072234763</v>
      </c>
      <c r="P482" s="2" t="str">
        <f>IF(Fact_Table[[#This Row],[0/P Producyivity/Day]]&gt;=1000,"High",IF(Fact_Table[[#This Row],[0/P Producyivity/Day]]&gt;=500,"Medium","Low"))</f>
        <v>Low</v>
      </c>
      <c r="Q482" s="10">
        <f>Fact_Table[[#This Row],[Capacity_BPD]]/Fact_Table[[#This Row],[Average_Salary_AED]]</f>
        <v>43.188625750500336</v>
      </c>
      <c r="R482" s="15">
        <f>(Fact_Table[[#This Row],[Petrol_Output_BPD]]/Fact_Table[[#This Row],[Capacity_BPD]])</f>
        <v>0.31408961779020361</v>
      </c>
      <c r="S482" s="15">
        <f>Fact_Table[[#This Row],[Diesel_Output_BPD]]/Fact_Table[[#This Row],[Capacity_BPD]]</f>
        <v>0.54906761301982165</v>
      </c>
      <c r="T482" s="15">
        <f>Fact_Table[[#This Row],[Gas_Output_BPD]]/Fact_Table[[#This Row],[Capacity_BPD]]</f>
        <v>0.13684148198492169</v>
      </c>
      <c r="U482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82" s="8">
        <f ca="1">YEAR(TODAY())-Fact_Table[[#This Row],[Commissioned_Year]]</f>
        <v>8</v>
      </c>
      <c r="W482" s="40" cm="1">
        <f t="array" ref="W482">_xlfn.XLOOKUP(Fact_Table[[#This Row],[Commissioned_Year]],cost_table[[#All],[Year]],cost_table[[#All],[Average_Crude_Price_USD_per_Barrel]],"0")</f>
        <v>71.3</v>
      </c>
      <c r="X482" s="40">
        <f>Fact_Table[[#This Row],[Capacity_BPD]]*Fact_Table[[#This Row],[cost per barrel]]</f>
        <v>55391330.100000001</v>
      </c>
    </row>
    <row r="483" spans="1:24" x14ac:dyDescent="0.35">
      <c r="A483" t="s">
        <v>37</v>
      </c>
      <c r="B483" t="s">
        <v>25</v>
      </c>
      <c r="C483" t="s">
        <v>39</v>
      </c>
      <c r="D483" s="5">
        <v>623445</v>
      </c>
      <c r="E483" s="5">
        <v>1976</v>
      </c>
      <c r="F483" s="5">
        <v>1713</v>
      </c>
      <c r="G483" s="3" t="s">
        <v>16</v>
      </c>
      <c r="H483" s="4">
        <v>13.13</v>
      </c>
      <c r="I483" s="4">
        <v>6.21</v>
      </c>
      <c r="J483" s="5">
        <v>203818</v>
      </c>
      <c r="K483" s="5">
        <v>299036</v>
      </c>
      <c r="L483" s="5">
        <v>120590</v>
      </c>
      <c r="M483" s="3" t="s">
        <v>17</v>
      </c>
      <c r="N483" s="10">
        <v>15726</v>
      </c>
      <c r="O483" s="12">
        <f>(Fact_Table[[#This Row],[Petrol_Output_BPD]]+Fact_Table[[#This Row],[Diesel_Output_BPD]]+Fact_Table[[#This Row],[Gas_Output_BPD]])/Fact_Table[[#This Row],[No_of_Employees]]</f>
        <v>363.94862813777002</v>
      </c>
      <c r="P483" s="2" t="str">
        <f>IF(Fact_Table[[#This Row],[0/P Producyivity/Day]]&gt;=1000,"High",IF(Fact_Table[[#This Row],[0/P Producyivity/Day]]&gt;=500,"Medium","Low"))</f>
        <v>Low</v>
      </c>
      <c r="Q483" s="10">
        <f>Fact_Table[[#This Row],[Capacity_BPD]]/Fact_Table[[#This Row],[Average_Salary_AED]]</f>
        <v>39.644219763449065</v>
      </c>
      <c r="R483" s="15">
        <f>(Fact_Table[[#This Row],[Petrol_Output_BPD]]/Fact_Table[[#This Row],[Capacity_BPD]])</f>
        <v>0.32692218238978576</v>
      </c>
      <c r="S483" s="15">
        <f>Fact_Table[[#This Row],[Diesel_Output_BPD]]/Fact_Table[[#This Row],[Capacity_BPD]]</f>
        <v>0.47965097161738407</v>
      </c>
      <c r="T483" s="15">
        <f>Fact_Table[[#This Row],[Gas_Output_BPD]]/Fact_Table[[#This Row],[Capacity_BPD]]</f>
        <v>0.19342524200210123</v>
      </c>
      <c r="U483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83" s="8">
        <f ca="1">YEAR(TODAY())-Fact_Table[[#This Row],[Commissioned_Year]]</f>
        <v>49</v>
      </c>
      <c r="W483" s="40" cm="1">
        <f t="array" ref="W483">_xlfn.XLOOKUP(Fact_Table[[#This Row],[Commissioned_Year]],cost_table[[#All],[Year]],cost_table[[#All],[Average_Crude_Price_USD_per_Barrel]],"0")</f>
        <v>11.2</v>
      </c>
      <c r="X483" s="40">
        <f>Fact_Table[[#This Row],[Capacity_BPD]]*Fact_Table[[#This Row],[cost per barrel]]</f>
        <v>6982584</v>
      </c>
    </row>
    <row r="484" spans="1:24" x14ac:dyDescent="0.35">
      <c r="A484" t="s">
        <v>22</v>
      </c>
      <c r="B484" t="s">
        <v>41</v>
      </c>
      <c r="C484" t="s">
        <v>15</v>
      </c>
      <c r="D484" s="5">
        <v>557268</v>
      </c>
      <c r="E484" s="5">
        <v>2015</v>
      </c>
      <c r="F484" s="5">
        <v>2258</v>
      </c>
      <c r="G484" s="3" t="s">
        <v>28</v>
      </c>
      <c r="H484" s="4">
        <v>3.65</v>
      </c>
      <c r="I484" s="4">
        <v>9.6300000000000008</v>
      </c>
      <c r="J484" s="5">
        <v>182540</v>
      </c>
      <c r="K484" s="5">
        <v>294705</v>
      </c>
      <c r="L484" s="5">
        <v>80021</v>
      </c>
      <c r="M484" s="3" t="s">
        <v>17</v>
      </c>
      <c r="N484" s="10">
        <v>9940</v>
      </c>
      <c r="O484" s="12">
        <f>(Fact_Table[[#This Row],[Petrol_Output_BPD]]+Fact_Table[[#This Row],[Diesel_Output_BPD]]+Fact_Table[[#This Row],[Gas_Output_BPD]])/Fact_Table[[#This Row],[No_of_Employees]]</f>
        <v>246.79627989371124</v>
      </c>
      <c r="P484" s="2" t="str">
        <f>IF(Fact_Table[[#This Row],[0/P Producyivity/Day]]&gt;=1000,"High",IF(Fact_Table[[#This Row],[0/P Producyivity/Day]]&gt;=500,"Medium","Low"))</f>
        <v>Low</v>
      </c>
      <c r="Q484" s="10">
        <f>Fact_Table[[#This Row],[Capacity_BPD]]/Fact_Table[[#This Row],[Average_Salary_AED]]</f>
        <v>56.06317907444668</v>
      </c>
      <c r="R484" s="15">
        <f>(Fact_Table[[#This Row],[Petrol_Output_BPD]]/Fact_Table[[#This Row],[Capacity_BPD]])</f>
        <v>0.3275623218989786</v>
      </c>
      <c r="S484" s="15">
        <f>Fact_Table[[#This Row],[Diesel_Output_BPD]]/Fact_Table[[#This Row],[Capacity_BPD]]</f>
        <v>0.52883890695320745</v>
      </c>
      <c r="T484" s="15">
        <f>Fact_Table[[#This Row],[Gas_Output_BPD]]/Fact_Table[[#This Row],[Capacity_BPD]]</f>
        <v>0.1435951822103548</v>
      </c>
      <c r="U484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84" s="8">
        <f ca="1">YEAR(TODAY())-Fact_Table[[#This Row],[Commissioned_Year]]</f>
        <v>10</v>
      </c>
      <c r="W484" s="40" cm="1">
        <f t="array" ref="W484">_xlfn.XLOOKUP(Fact_Table[[#This Row],[Commissioned_Year]],cost_table[[#All],[Year]],cost_table[[#All],[Average_Crude_Price_USD_per_Barrel]],"0")</f>
        <v>43.7</v>
      </c>
      <c r="X484" s="40">
        <f>Fact_Table[[#This Row],[Capacity_BPD]]*Fact_Table[[#This Row],[cost per barrel]]</f>
        <v>24352611.600000001</v>
      </c>
    </row>
    <row r="485" spans="1:24" x14ac:dyDescent="0.35">
      <c r="A485" t="s">
        <v>30</v>
      </c>
      <c r="B485" t="s">
        <v>19</v>
      </c>
      <c r="C485" t="s">
        <v>50</v>
      </c>
      <c r="D485" s="5">
        <v>528524</v>
      </c>
      <c r="E485" s="5">
        <v>1976</v>
      </c>
      <c r="F485" s="5">
        <v>1934</v>
      </c>
      <c r="G485" s="3" t="s">
        <v>16</v>
      </c>
      <c r="H485" s="4">
        <v>21.99</v>
      </c>
      <c r="I485" s="4">
        <v>8.85</v>
      </c>
      <c r="J485" s="5">
        <v>177225</v>
      </c>
      <c r="K485" s="5">
        <v>239931</v>
      </c>
      <c r="L485" s="5">
        <v>111367</v>
      </c>
      <c r="M485" s="3" t="s">
        <v>34</v>
      </c>
      <c r="N485" s="10">
        <v>15927</v>
      </c>
      <c r="O485" s="12">
        <f>(Fact_Table[[#This Row],[Petrol_Output_BPD]]+Fact_Table[[#This Row],[Diesel_Output_BPD]]+Fact_Table[[#This Row],[Gas_Output_BPD]])/Fact_Table[[#This Row],[No_of_Employees]]</f>
        <v>273.27973112719752</v>
      </c>
      <c r="P485" s="2" t="str">
        <f>IF(Fact_Table[[#This Row],[0/P Producyivity/Day]]&gt;=1000,"High",IF(Fact_Table[[#This Row],[0/P Producyivity/Day]]&gt;=500,"Medium","Low"))</f>
        <v>Low</v>
      </c>
      <c r="Q485" s="10">
        <f>Fact_Table[[#This Row],[Capacity_BPD]]/Fact_Table[[#This Row],[Average_Salary_AED]]</f>
        <v>33.184152696678595</v>
      </c>
      <c r="R485" s="15">
        <f>(Fact_Table[[#This Row],[Petrol_Output_BPD]]/Fact_Table[[#This Row],[Capacity_BPD]])</f>
        <v>0.33532062876993285</v>
      </c>
      <c r="S485" s="15">
        <f>Fact_Table[[#This Row],[Diesel_Output_BPD]]/Fact_Table[[#This Row],[Capacity_BPD]]</f>
        <v>0.45396424760275789</v>
      </c>
      <c r="T485" s="15">
        <f>Fact_Table[[#This Row],[Gas_Output_BPD]]/Fact_Table[[#This Row],[Capacity_BPD]]</f>
        <v>0.2107132315656432</v>
      </c>
      <c r="U485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85" s="8">
        <f ca="1">YEAR(TODAY())-Fact_Table[[#This Row],[Commissioned_Year]]</f>
        <v>49</v>
      </c>
      <c r="W485" s="40" cm="1">
        <f t="array" ref="W485">_xlfn.XLOOKUP(Fact_Table[[#This Row],[Commissioned_Year]],cost_table[[#All],[Year]],cost_table[[#All],[Average_Crude_Price_USD_per_Barrel]],"0")</f>
        <v>11.2</v>
      </c>
      <c r="X485" s="40">
        <f>Fact_Table[[#This Row],[Capacity_BPD]]*Fact_Table[[#This Row],[cost per barrel]]</f>
        <v>5919468.7999999998</v>
      </c>
    </row>
    <row r="486" spans="1:24" x14ac:dyDescent="0.35">
      <c r="A486" t="s">
        <v>35</v>
      </c>
      <c r="B486" t="s">
        <v>41</v>
      </c>
      <c r="C486" t="s">
        <v>51</v>
      </c>
      <c r="D486" s="5">
        <v>821929</v>
      </c>
      <c r="E486" s="5">
        <v>1990</v>
      </c>
      <c r="F486" s="5">
        <v>1111</v>
      </c>
      <c r="G486" s="3" t="s">
        <v>28</v>
      </c>
      <c r="H486" s="4">
        <v>8.25</v>
      </c>
      <c r="I486" s="4">
        <v>6.16</v>
      </c>
      <c r="J486" s="5">
        <v>303325</v>
      </c>
      <c r="K486" s="5">
        <v>400752</v>
      </c>
      <c r="L486" s="5">
        <v>117850</v>
      </c>
      <c r="M486" s="3" t="s">
        <v>34</v>
      </c>
      <c r="N486" s="10">
        <v>9777</v>
      </c>
      <c r="O486" s="12">
        <f>(Fact_Table[[#This Row],[Petrol_Output_BPD]]+Fact_Table[[#This Row],[Diesel_Output_BPD]]+Fact_Table[[#This Row],[Gas_Output_BPD]])/Fact_Table[[#This Row],[No_of_Employees]]</f>
        <v>739.80828082808284</v>
      </c>
      <c r="P486" s="2" t="str">
        <f>IF(Fact_Table[[#This Row],[0/P Producyivity/Day]]&gt;=1000,"High",IF(Fact_Table[[#This Row],[0/P Producyivity/Day]]&gt;=500,"Medium","Low"))</f>
        <v>Medium</v>
      </c>
      <c r="Q486" s="10">
        <f>Fact_Table[[#This Row],[Capacity_BPD]]/Fact_Table[[#This Row],[Average_Salary_AED]]</f>
        <v>84.067607650608565</v>
      </c>
      <c r="R486" s="15">
        <f>(Fact_Table[[#This Row],[Petrol_Output_BPD]]/Fact_Table[[#This Row],[Capacity_BPD]])</f>
        <v>0.36904039156666818</v>
      </c>
      <c r="S486" s="15">
        <f>Fact_Table[[#This Row],[Diesel_Output_BPD]]/Fact_Table[[#This Row],[Capacity_BPD]]</f>
        <v>0.48757496085428303</v>
      </c>
      <c r="T486" s="15">
        <f>Fact_Table[[#This Row],[Gas_Output_BPD]]/Fact_Table[[#This Row],[Capacity_BPD]]</f>
        <v>0.1433822142788489</v>
      </c>
      <c r="U48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86" s="8">
        <f ca="1">YEAR(TODAY())-Fact_Table[[#This Row],[Commissioned_Year]]</f>
        <v>35</v>
      </c>
      <c r="W486" s="40" cm="1">
        <f t="array" ref="W486">_xlfn.XLOOKUP(Fact_Table[[#This Row],[Commissioned_Year]],cost_table[[#All],[Year]],cost_table[[#All],[Average_Crude_Price_USD_per_Barrel]],"0")</f>
        <v>22.3</v>
      </c>
      <c r="X486" s="40">
        <f>Fact_Table[[#This Row],[Capacity_BPD]]*Fact_Table[[#This Row],[cost per barrel]]</f>
        <v>18329016.699999999</v>
      </c>
    </row>
    <row r="487" spans="1:24" x14ac:dyDescent="0.35">
      <c r="A487" t="s">
        <v>37</v>
      </c>
      <c r="B487" t="s">
        <v>26</v>
      </c>
      <c r="C487" t="s">
        <v>20</v>
      </c>
      <c r="D487" s="5">
        <v>454212</v>
      </c>
      <c r="E487" s="5">
        <v>2016</v>
      </c>
      <c r="F487" s="5">
        <v>2181</v>
      </c>
      <c r="G487" s="3" t="s">
        <v>16</v>
      </c>
      <c r="H487" s="4">
        <v>20.25</v>
      </c>
      <c r="I487" s="4">
        <v>5.45</v>
      </c>
      <c r="J487" s="5">
        <v>148832</v>
      </c>
      <c r="K487" s="5">
        <v>192008</v>
      </c>
      <c r="L487" s="5">
        <v>113371</v>
      </c>
      <c r="M487" s="3" t="s">
        <v>17</v>
      </c>
      <c r="N487" s="10">
        <v>21505</v>
      </c>
      <c r="O487" s="12">
        <f>(Fact_Table[[#This Row],[Petrol_Output_BPD]]+Fact_Table[[#This Row],[Diesel_Output_BPD]]+Fact_Table[[#This Row],[Gas_Output_BPD]])/Fact_Table[[#This Row],[No_of_Employees]]</f>
        <v>208.25813846859239</v>
      </c>
      <c r="P487" s="2" t="str">
        <f>IF(Fact_Table[[#This Row],[0/P Producyivity/Day]]&gt;=1000,"High",IF(Fact_Table[[#This Row],[0/P Producyivity/Day]]&gt;=500,"Medium","Low"))</f>
        <v>Low</v>
      </c>
      <c r="Q487" s="10">
        <f>Fact_Table[[#This Row],[Capacity_BPD]]/Fact_Table[[#This Row],[Average_Salary_AED]]</f>
        <v>21.121227621483374</v>
      </c>
      <c r="R487" s="15">
        <f>(Fact_Table[[#This Row],[Petrol_Output_BPD]]/Fact_Table[[#This Row],[Capacity_BPD]])</f>
        <v>0.32767077928368249</v>
      </c>
      <c r="S487" s="15">
        <f>Fact_Table[[#This Row],[Diesel_Output_BPD]]/Fact_Table[[#This Row],[Capacity_BPD]]</f>
        <v>0.42272771305029372</v>
      </c>
      <c r="T487" s="15">
        <f>Fact_Table[[#This Row],[Gas_Output_BPD]]/Fact_Table[[#This Row],[Capacity_BPD]]</f>
        <v>0.24959930605091896</v>
      </c>
      <c r="U487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87" s="8">
        <f ca="1">YEAR(TODAY())-Fact_Table[[#This Row],[Commissioned_Year]]</f>
        <v>9</v>
      </c>
      <c r="W487" s="40" cm="1">
        <f t="array" ref="W487">_xlfn.XLOOKUP(Fact_Table[[#This Row],[Commissioned_Year]],cost_table[[#All],[Year]],cost_table[[#All],[Average_Crude_Price_USD_per_Barrel]],"0")</f>
        <v>54.2</v>
      </c>
      <c r="X487" s="40">
        <f>Fact_Table[[#This Row],[Capacity_BPD]]*Fact_Table[[#This Row],[cost per barrel]]</f>
        <v>24618290.400000002</v>
      </c>
    </row>
    <row r="488" spans="1:24" x14ac:dyDescent="0.35">
      <c r="A488" t="s">
        <v>35</v>
      </c>
      <c r="B488" t="s">
        <v>26</v>
      </c>
      <c r="C488" t="s">
        <v>49</v>
      </c>
      <c r="D488" s="5">
        <v>748445</v>
      </c>
      <c r="E488" s="5">
        <v>2019</v>
      </c>
      <c r="F488" s="5">
        <v>1870</v>
      </c>
      <c r="G488" s="3" t="s">
        <v>31</v>
      </c>
      <c r="H488" s="4">
        <v>20.11</v>
      </c>
      <c r="I488" s="4">
        <v>5.84</v>
      </c>
      <c r="J488" s="5">
        <v>248617</v>
      </c>
      <c r="K488" s="5">
        <v>406435</v>
      </c>
      <c r="L488" s="5">
        <v>93391</v>
      </c>
      <c r="M488" s="3" t="s">
        <v>34</v>
      </c>
      <c r="N488" s="10">
        <v>11915</v>
      </c>
      <c r="O488" s="12">
        <f>(Fact_Table[[#This Row],[Petrol_Output_BPD]]+Fact_Table[[#This Row],[Diesel_Output_BPD]]+Fact_Table[[#This Row],[Gas_Output_BPD]])/Fact_Table[[#This Row],[No_of_Employees]]</f>
        <v>400.23689839572194</v>
      </c>
      <c r="P488" s="2" t="str">
        <f>IF(Fact_Table[[#This Row],[0/P Producyivity/Day]]&gt;=1000,"High",IF(Fact_Table[[#This Row],[0/P Producyivity/Day]]&gt;=500,"Medium","Low"))</f>
        <v>Low</v>
      </c>
      <c r="Q488" s="10">
        <f>Fact_Table[[#This Row],[Capacity_BPD]]/Fact_Table[[#This Row],[Average_Salary_AED]]</f>
        <v>62.815358791439365</v>
      </c>
      <c r="R488" s="15">
        <f>(Fact_Table[[#This Row],[Petrol_Output_BPD]]/Fact_Table[[#This Row],[Capacity_BPD]])</f>
        <v>0.33217804915524857</v>
      </c>
      <c r="S488" s="15">
        <f>Fact_Table[[#This Row],[Diesel_Output_BPD]]/Fact_Table[[#This Row],[Capacity_BPD]]</f>
        <v>0.543039234679903</v>
      </c>
      <c r="T488" s="15">
        <f>Fact_Table[[#This Row],[Gas_Output_BPD]]/Fact_Table[[#This Row],[Capacity_BPD]]</f>
        <v>0.12478004395780586</v>
      </c>
      <c r="U48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88" s="8">
        <f ca="1">YEAR(TODAY())-Fact_Table[[#This Row],[Commissioned_Year]]</f>
        <v>6</v>
      </c>
      <c r="W488" s="40" cm="1">
        <f t="array" ref="W488">_xlfn.XLOOKUP(Fact_Table[[#This Row],[Commissioned_Year]],cost_table[[#All],[Year]],cost_table[[#All],[Average_Crude_Price_USD_per_Barrel]],"0")</f>
        <v>52.3</v>
      </c>
      <c r="X488" s="40">
        <f>Fact_Table[[#This Row],[Capacity_BPD]]*Fact_Table[[#This Row],[cost per barrel]]</f>
        <v>39143673.5</v>
      </c>
    </row>
    <row r="489" spans="1:24" x14ac:dyDescent="0.35">
      <c r="A489" t="s">
        <v>36</v>
      </c>
      <c r="B489" t="s">
        <v>32</v>
      </c>
      <c r="C489" t="s">
        <v>46</v>
      </c>
      <c r="D489" s="5">
        <v>73661</v>
      </c>
      <c r="E489" s="5">
        <v>1981</v>
      </c>
      <c r="F489" s="5">
        <v>856</v>
      </c>
      <c r="G489" s="3" t="s">
        <v>16</v>
      </c>
      <c r="H489" s="4">
        <v>3.77</v>
      </c>
      <c r="I489" s="4">
        <v>6.36</v>
      </c>
      <c r="J489" s="5">
        <v>30896</v>
      </c>
      <c r="K489" s="5">
        <v>25454</v>
      </c>
      <c r="L489" s="5">
        <v>17310</v>
      </c>
      <c r="M489" s="3" t="s">
        <v>23</v>
      </c>
      <c r="N489" s="10">
        <v>10264</v>
      </c>
      <c r="O489" s="12">
        <f>(Fact_Table[[#This Row],[Petrol_Output_BPD]]+Fact_Table[[#This Row],[Diesel_Output_BPD]]+Fact_Table[[#This Row],[Gas_Output_BPD]])/Fact_Table[[#This Row],[No_of_Employees]]</f>
        <v>86.05140186915888</v>
      </c>
      <c r="P489" s="2" t="str">
        <f>IF(Fact_Table[[#This Row],[0/P Producyivity/Day]]&gt;=1000,"High",IF(Fact_Table[[#This Row],[0/P Producyivity/Day]]&gt;=500,"Medium","Low"))</f>
        <v>Low</v>
      </c>
      <c r="Q489" s="10">
        <f>Fact_Table[[#This Row],[Capacity_BPD]]/Fact_Table[[#This Row],[Average_Salary_AED]]</f>
        <v>7.1766367887763058</v>
      </c>
      <c r="R489" s="15">
        <f>(Fact_Table[[#This Row],[Petrol_Output_BPD]]/Fact_Table[[#This Row],[Capacity_BPD]])</f>
        <v>0.41943497916129296</v>
      </c>
      <c r="S489" s="15">
        <f>Fact_Table[[#This Row],[Diesel_Output_BPD]]/Fact_Table[[#This Row],[Capacity_BPD]]</f>
        <v>0.34555599299493628</v>
      </c>
      <c r="T489" s="15">
        <f>Fact_Table[[#This Row],[Gas_Output_BPD]]/Fact_Table[[#This Row],[Capacity_BPD]]</f>
        <v>0.23499545213885231</v>
      </c>
      <c r="U489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89" s="8">
        <f ca="1">YEAR(TODAY())-Fact_Table[[#This Row],[Commissioned_Year]]</f>
        <v>44</v>
      </c>
      <c r="W489" s="40" cm="1">
        <f t="array" ref="W489">_xlfn.XLOOKUP(Fact_Table[[#This Row],[Commissioned_Year]],cost_table[[#All],[Year]],cost_table[[#All],[Average_Crude_Price_USD_per_Barrel]],"0")</f>
        <v>35.700000000000003</v>
      </c>
      <c r="X489" s="40">
        <f>Fact_Table[[#This Row],[Capacity_BPD]]*Fact_Table[[#This Row],[cost per barrel]]</f>
        <v>2629697.7000000002</v>
      </c>
    </row>
    <row r="490" spans="1:24" x14ac:dyDescent="0.35">
      <c r="A490" t="s">
        <v>22</v>
      </c>
      <c r="B490" t="s">
        <v>41</v>
      </c>
      <c r="C490" t="s">
        <v>33</v>
      </c>
      <c r="D490" s="5">
        <v>50409</v>
      </c>
      <c r="E490" s="5">
        <v>2017</v>
      </c>
      <c r="F490" s="5">
        <v>1678</v>
      </c>
      <c r="G490" s="3" t="s">
        <v>31</v>
      </c>
      <c r="H490" s="4">
        <v>10.72</v>
      </c>
      <c r="I490" s="4">
        <v>6.03</v>
      </c>
      <c r="J490" s="5">
        <v>17209</v>
      </c>
      <c r="K490" s="5">
        <v>25794</v>
      </c>
      <c r="L490" s="5">
        <v>7405</v>
      </c>
      <c r="M490" s="3" t="s">
        <v>23</v>
      </c>
      <c r="N490" s="10">
        <v>18399</v>
      </c>
      <c r="O490" s="12">
        <f>(Fact_Table[[#This Row],[Petrol_Output_BPD]]+Fact_Table[[#This Row],[Diesel_Output_BPD]]+Fact_Table[[#This Row],[Gas_Output_BPD]])/Fact_Table[[#This Row],[No_of_Employees]]</f>
        <v>30.040524433849821</v>
      </c>
      <c r="P490" s="2" t="str">
        <f>IF(Fact_Table[[#This Row],[0/P Producyivity/Day]]&gt;=1000,"High",IF(Fact_Table[[#This Row],[0/P Producyivity/Day]]&gt;=500,"Medium","Low"))</f>
        <v>Low</v>
      </c>
      <c r="Q490" s="10">
        <f>Fact_Table[[#This Row],[Capacity_BPD]]/Fact_Table[[#This Row],[Average_Salary_AED]]</f>
        <v>2.7397684656774826</v>
      </c>
      <c r="R490" s="15">
        <f>(Fact_Table[[#This Row],[Petrol_Output_BPD]]/Fact_Table[[#This Row],[Capacity_BPD]])</f>
        <v>0.34138745065365311</v>
      </c>
      <c r="S490" s="15">
        <f>Fact_Table[[#This Row],[Diesel_Output_BPD]]/Fact_Table[[#This Row],[Capacity_BPD]]</f>
        <v>0.51169434029637562</v>
      </c>
      <c r="T490" s="15">
        <f>Fact_Table[[#This Row],[Gas_Output_BPD]]/Fact_Table[[#This Row],[Capacity_BPD]]</f>
        <v>0.14689837132258129</v>
      </c>
      <c r="U490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90" s="8">
        <f ca="1">YEAR(TODAY())-Fact_Table[[#This Row],[Commissioned_Year]]</f>
        <v>8</v>
      </c>
      <c r="W490" s="40" cm="1">
        <f t="array" ref="W490">_xlfn.XLOOKUP(Fact_Table[[#This Row],[Commissioned_Year]],cost_table[[#All],[Year]],cost_table[[#All],[Average_Crude_Price_USD_per_Barrel]],"0")</f>
        <v>71.3</v>
      </c>
      <c r="X490" s="40">
        <f>Fact_Table[[#This Row],[Capacity_BPD]]*Fact_Table[[#This Row],[cost per barrel]]</f>
        <v>3594161.6999999997</v>
      </c>
    </row>
    <row r="491" spans="1:24" x14ac:dyDescent="0.35">
      <c r="A491" t="s">
        <v>36</v>
      </c>
      <c r="B491" t="s">
        <v>32</v>
      </c>
      <c r="C491" t="s">
        <v>39</v>
      </c>
      <c r="D491" s="5">
        <v>544975</v>
      </c>
      <c r="E491" s="5">
        <v>2008</v>
      </c>
      <c r="F491" s="5">
        <v>1469</v>
      </c>
      <c r="G491" s="3" t="s">
        <v>28</v>
      </c>
      <c r="H491" s="4">
        <v>17.96</v>
      </c>
      <c r="I491" s="4">
        <v>7.25</v>
      </c>
      <c r="J491" s="5">
        <v>204318</v>
      </c>
      <c r="K491" s="5">
        <v>229241</v>
      </c>
      <c r="L491" s="5">
        <v>111415</v>
      </c>
      <c r="M491" s="3" t="s">
        <v>38</v>
      </c>
      <c r="N491" s="10">
        <v>20032</v>
      </c>
      <c r="O491" s="12">
        <f>(Fact_Table[[#This Row],[Petrol_Output_BPD]]+Fact_Table[[#This Row],[Diesel_Output_BPD]]+Fact_Table[[#This Row],[Gas_Output_BPD]])/Fact_Table[[#This Row],[No_of_Employees]]</f>
        <v>370.98298162014976</v>
      </c>
      <c r="P491" s="2" t="str">
        <f>IF(Fact_Table[[#This Row],[0/P Producyivity/Day]]&gt;=1000,"High",IF(Fact_Table[[#This Row],[0/P Producyivity/Day]]&gt;=500,"Medium","Low"))</f>
        <v>Low</v>
      </c>
      <c r="Q491" s="10">
        <f>Fact_Table[[#This Row],[Capacity_BPD]]/Fact_Table[[#This Row],[Average_Salary_AED]]</f>
        <v>27.205221645367413</v>
      </c>
      <c r="R491" s="15">
        <f>(Fact_Table[[#This Row],[Petrol_Output_BPD]]/Fact_Table[[#This Row],[Capacity_BPD]])</f>
        <v>0.37491261067021425</v>
      </c>
      <c r="S491" s="15">
        <f>Fact_Table[[#This Row],[Diesel_Output_BPD]]/Fact_Table[[#This Row],[Capacity_BPD]]</f>
        <v>0.42064498371484932</v>
      </c>
      <c r="T491" s="15">
        <f>Fact_Table[[#This Row],[Gas_Output_BPD]]/Fact_Table[[#This Row],[Capacity_BPD]]</f>
        <v>0.20444057066837928</v>
      </c>
      <c r="U49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91" s="8">
        <f ca="1">YEAR(TODAY())-Fact_Table[[#This Row],[Commissioned_Year]]</f>
        <v>17</v>
      </c>
      <c r="W491" s="40" cm="1">
        <f t="array" ref="W491">_xlfn.XLOOKUP(Fact_Table[[#This Row],[Commissioned_Year]],cost_table[[#All],[Year]],cost_table[[#All],[Average_Crude_Price_USD_per_Barrel]],"0")</f>
        <v>31</v>
      </c>
      <c r="X491" s="40">
        <f>Fact_Table[[#This Row],[Capacity_BPD]]*Fact_Table[[#This Row],[cost per barrel]]</f>
        <v>16894225</v>
      </c>
    </row>
    <row r="492" spans="1:24" x14ac:dyDescent="0.35">
      <c r="A492" t="s">
        <v>35</v>
      </c>
      <c r="B492" t="s">
        <v>32</v>
      </c>
      <c r="C492" t="s">
        <v>15</v>
      </c>
      <c r="D492" s="5">
        <v>370644</v>
      </c>
      <c r="E492" s="5">
        <v>1986</v>
      </c>
      <c r="F492" s="5">
        <v>751</v>
      </c>
      <c r="G492" s="3" t="s">
        <v>21</v>
      </c>
      <c r="H492" s="4">
        <v>21.34</v>
      </c>
      <c r="I492" s="4">
        <v>9.6999999999999993</v>
      </c>
      <c r="J492" s="5">
        <v>128011</v>
      </c>
      <c r="K492" s="5">
        <v>163122</v>
      </c>
      <c r="L492" s="5">
        <v>79509</v>
      </c>
      <c r="M492" s="3" t="s">
        <v>23</v>
      </c>
      <c r="N492" s="10">
        <v>13559</v>
      </c>
      <c r="O492" s="12">
        <f>(Fact_Table[[#This Row],[Petrol_Output_BPD]]+Fact_Table[[#This Row],[Diesel_Output_BPD]]+Fact_Table[[#This Row],[Gas_Output_BPD]])/Fact_Table[[#This Row],[No_of_Employees]]</f>
        <v>493.53129161118511</v>
      </c>
      <c r="P492" s="2" t="str">
        <f>IF(Fact_Table[[#This Row],[0/P Producyivity/Day]]&gt;=1000,"High",IF(Fact_Table[[#This Row],[0/P Producyivity/Day]]&gt;=500,"Medium","Low"))</f>
        <v>Low</v>
      </c>
      <c r="Q492" s="10">
        <f>Fact_Table[[#This Row],[Capacity_BPD]]/Fact_Table[[#This Row],[Average_Salary_AED]]</f>
        <v>27.335644221550261</v>
      </c>
      <c r="R492" s="15">
        <f>(Fact_Table[[#This Row],[Petrol_Output_BPD]]/Fact_Table[[#This Row],[Capacity_BPD]])</f>
        <v>0.3453745372918488</v>
      </c>
      <c r="S492" s="15">
        <f>Fact_Table[[#This Row],[Diesel_Output_BPD]]/Fact_Table[[#This Row],[Capacity_BPD]]</f>
        <v>0.44010425097937644</v>
      </c>
      <c r="T492" s="15">
        <f>Fact_Table[[#This Row],[Gas_Output_BPD]]/Fact_Table[[#This Row],[Capacity_BPD]]</f>
        <v>0.2145158157153495</v>
      </c>
      <c r="U492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92" s="8">
        <f ca="1">YEAR(TODAY())-Fact_Table[[#This Row],[Commissioned_Year]]</f>
        <v>39</v>
      </c>
      <c r="W492" s="40" cm="1">
        <f t="array" ref="W492">_xlfn.XLOOKUP(Fact_Table[[#This Row],[Commissioned_Year]],cost_table[[#All],[Year]],cost_table[[#All],[Average_Crude_Price_USD_per_Barrel]],"0")</f>
        <v>14.4</v>
      </c>
      <c r="X492" s="40">
        <f>Fact_Table[[#This Row],[Capacity_BPD]]*Fact_Table[[#This Row],[cost per barrel]]</f>
        <v>5337273.6000000006</v>
      </c>
    </row>
    <row r="493" spans="1:24" x14ac:dyDescent="0.35">
      <c r="A493" t="s">
        <v>22</v>
      </c>
      <c r="B493" t="s">
        <v>41</v>
      </c>
      <c r="C493" t="s">
        <v>48</v>
      </c>
      <c r="D493" s="5">
        <v>738542</v>
      </c>
      <c r="E493" s="5">
        <v>1990</v>
      </c>
      <c r="F493" s="5">
        <v>322</v>
      </c>
      <c r="G493" s="3" t="s">
        <v>21</v>
      </c>
      <c r="H493" s="4">
        <v>24.85</v>
      </c>
      <c r="I493" s="4">
        <v>9.4600000000000009</v>
      </c>
      <c r="J493" s="5">
        <v>262975</v>
      </c>
      <c r="K493" s="5">
        <v>313315</v>
      </c>
      <c r="L493" s="5">
        <v>162251</v>
      </c>
      <c r="M493" s="3" t="s">
        <v>17</v>
      </c>
      <c r="N493" s="10">
        <v>13572</v>
      </c>
      <c r="O493" s="12">
        <f>(Fact_Table[[#This Row],[Petrol_Output_BPD]]+Fact_Table[[#This Row],[Diesel_Output_BPD]]+Fact_Table[[#This Row],[Gas_Output_BPD]])/Fact_Table[[#This Row],[No_of_Employees]]</f>
        <v>2293.6055900621118</v>
      </c>
      <c r="P493" s="2" t="str">
        <f>IF(Fact_Table[[#This Row],[0/P Producyivity/Day]]&gt;=1000,"High",IF(Fact_Table[[#This Row],[0/P Producyivity/Day]]&gt;=500,"Medium","Low"))</f>
        <v>High</v>
      </c>
      <c r="Q493" s="10">
        <f>Fact_Table[[#This Row],[Capacity_BPD]]/Fact_Table[[#This Row],[Average_Salary_AED]]</f>
        <v>54.416592985558502</v>
      </c>
      <c r="R493" s="15">
        <f>(Fact_Table[[#This Row],[Petrol_Output_BPD]]/Fact_Table[[#This Row],[Capacity_BPD]])</f>
        <v>0.35607318202620841</v>
      </c>
      <c r="S493" s="15">
        <f>Fact_Table[[#This Row],[Diesel_Output_BPD]]/Fact_Table[[#This Row],[Capacity_BPD]]</f>
        <v>0.42423450528202866</v>
      </c>
      <c r="T493" s="15">
        <f>Fact_Table[[#This Row],[Gas_Output_BPD]]/Fact_Table[[#This Row],[Capacity_BPD]]</f>
        <v>0.21969095867262797</v>
      </c>
      <c r="U493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93" s="8">
        <f ca="1">YEAR(TODAY())-Fact_Table[[#This Row],[Commissioned_Year]]</f>
        <v>35</v>
      </c>
      <c r="W493" s="40" cm="1">
        <f t="array" ref="W493">_xlfn.XLOOKUP(Fact_Table[[#This Row],[Commissioned_Year]],cost_table[[#All],[Year]],cost_table[[#All],[Average_Crude_Price_USD_per_Barrel]],"0")</f>
        <v>22.3</v>
      </c>
      <c r="X493" s="40">
        <f>Fact_Table[[#This Row],[Capacity_BPD]]*Fact_Table[[#This Row],[cost per barrel]]</f>
        <v>16469486.6</v>
      </c>
    </row>
    <row r="494" spans="1:24" x14ac:dyDescent="0.35">
      <c r="A494" t="s">
        <v>18</v>
      </c>
      <c r="B494" t="s">
        <v>25</v>
      </c>
      <c r="C494" t="s">
        <v>47</v>
      </c>
      <c r="D494" s="5">
        <v>889570</v>
      </c>
      <c r="E494" s="5">
        <v>2010</v>
      </c>
      <c r="F494" s="5">
        <v>1885</v>
      </c>
      <c r="G494" s="3" t="s">
        <v>21</v>
      </c>
      <c r="H494" s="4">
        <v>27.06</v>
      </c>
      <c r="I494" s="4">
        <v>8.2899999999999991</v>
      </c>
      <c r="J494" s="5">
        <v>288529</v>
      </c>
      <c r="K494" s="5">
        <v>484185</v>
      </c>
      <c r="L494" s="5">
        <v>116855</v>
      </c>
      <c r="M494" s="3" t="s">
        <v>23</v>
      </c>
      <c r="N494" s="10">
        <v>19377</v>
      </c>
      <c r="O494" s="12">
        <f>(Fact_Table[[#This Row],[Petrol_Output_BPD]]+Fact_Table[[#This Row],[Diesel_Output_BPD]]+Fact_Table[[#This Row],[Gas_Output_BPD]])/Fact_Table[[#This Row],[No_of_Employees]]</f>
        <v>471.91989389920423</v>
      </c>
      <c r="P494" s="2" t="str">
        <f>IF(Fact_Table[[#This Row],[0/P Producyivity/Day]]&gt;=1000,"High",IF(Fact_Table[[#This Row],[0/P Producyivity/Day]]&gt;=500,"Medium","Low"))</f>
        <v>Low</v>
      </c>
      <c r="Q494" s="10">
        <f>Fact_Table[[#This Row],[Capacity_BPD]]/Fact_Table[[#This Row],[Average_Salary_AED]]</f>
        <v>45.908551375341901</v>
      </c>
      <c r="R494" s="15">
        <f>(Fact_Table[[#This Row],[Petrol_Output_BPD]]/Fact_Table[[#This Row],[Capacity_BPD]])</f>
        <v>0.32434659442202413</v>
      </c>
      <c r="S494" s="15">
        <f>Fact_Table[[#This Row],[Diesel_Output_BPD]]/Fact_Table[[#This Row],[Capacity_BPD]]</f>
        <v>0.54429106197376265</v>
      </c>
      <c r="T494" s="15">
        <f>Fact_Table[[#This Row],[Gas_Output_BPD]]/Fact_Table[[#This Row],[Capacity_BPD]]</f>
        <v>0.13136121946558449</v>
      </c>
      <c r="U494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494" s="8">
        <f ca="1">YEAR(TODAY())-Fact_Table[[#This Row],[Commissioned_Year]]</f>
        <v>15</v>
      </c>
      <c r="W494" s="40" cm="1">
        <f t="array" ref="W494">_xlfn.XLOOKUP(Fact_Table[[#This Row],[Commissioned_Year]],cost_table[[#All],[Year]],cost_table[[#All],[Average_Crude_Price_USD_per_Barrel]],"0")</f>
        <v>56.6</v>
      </c>
      <c r="X494" s="40">
        <f>Fact_Table[[#This Row],[Capacity_BPD]]*Fact_Table[[#This Row],[cost per barrel]]</f>
        <v>50349662</v>
      </c>
    </row>
    <row r="495" spans="1:24" x14ac:dyDescent="0.35">
      <c r="A495" t="s">
        <v>60</v>
      </c>
      <c r="B495" t="s">
        <v>32</v>
      </c>
      <c r="C495" t="s">
        <v>15</v>
      </c>
      <c r="D495" s="5">
        <v>555686</v>
      </c>
      <c r="E495" s="5">
        <v>1996</v>
      </c>
      <c r="F495" s="5">
        <v>2428</v>
      </c>
      <c r="G495" s="3" t="s">
        <v>16</v>
      </c>
      <c r="H495" s="4">
        <v>1.99</v>
      </c>
      <c r="I495" s="4">
        <v>5.93</v>
      </c>
      <c r="J495" s="5">
        <v>186492</v>
      </c>
      <c r="K495" s="5">
        <v>247093</v>
      </c>
      <c r="L495" s="5">
        <v>122100</v>
      </c>
      <c r="M495" s="3" t="s">
        <v>29</v>
      </c>
      <c r="N495" s="10">
        <v>8853</v>
      </c>
      <c r="O495" s="12">
        <f>(Fact_Table[[#This Row],[Petrol_Output_BPD]]+Fact_Table[[#This Row],[Diesel_Output_BPD]]+Fact_Table[[#This Row],[Gas_Output_BPD]])/Fact_Table[[#This Row],[No_of_Employees]]</f>
        <v>228.86532125205932</v>
      </c>
      <c r="P495" s="2" t="str">
        <f>IF(Fact_Table[[#This Row],[0/P Producyivity/Day]]&gt;=1000,"High",IF(Fact_Table[[#This Row],[0/P Producyivity/Day]]&gt;=500,"Medium","Low"))</f>
        <v>Low</v>
      </c>
      <c r="Q495" s="10">
        <f>Fact_Table[[#This Row],[Capacity_BPD]]/Fact_Table[[#This Row],[Average_Salary_AED]]</f>
        <v>62.768101208629844</v>
      </c>
      <c r="R495" s="15">
        <f>(Fact_Table[[#This Row],[Petrol_Output_BPD]]/Fact_Table[[#This Row],[Capacity_BPD]])</f>
        <v>0.33560679952347189</v>
      </c>
      <c r="S495" s="15">
        <f>Fact_Table[[#This Row],[Diesel_Output_BPD]]/Fact_Table[[#This Row],[Capacity_BPD]]</f>
        <v>0.44466299312921326</v>
      </c>
      <c r="T495" s="15">
        <f>Fact_Table[[#This Row],[Gas_Output_BPD]]/Fact_Table[[#This Row],[Capacity_BPD]]</f>
        <v>0.21972840776985564</v>
      </c>
      <c r="U495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95" s="8">
        <f ca="1">YEAR(TODAY())-Fact_Table[[#This Row],[Commissioned_Year]]</f>
        <v>29</v>
      </c>
      <c r="W495" s="40" cm="1">
        <f t="array" ref="W495">_xlfn.XLOOKUP(Fact_Table[[#This Row],[Commissioned_Year]],cost_table[[#All],[Year]],cost_table[[#All],[Average_Crude_Price_USD_per_Barrel]],"0")</f>
        <v>18</v>
      </c>
      <c r="X495" s="40">
        <f>Fact_Table[[#This Row],[Capacity_BPD]]*Fact_Table[[#This Row],[cost per barrel]]</f>
        <v>10002348</v>
      </c>
    </row>
    <row r="496" spans="1:24" x14ac:dyDescent="0.35">
      <c r="A496" t="s">
        <v>35</v>
      </c>
      <c r="B496" t="s">
        <v>41</v>
      </c>
      <c r="C496" t="s">
        <v>20</v>
      </c>
      <c r="D496" s="5">
        <v>259620</v>
      </c>
      <c r="E496" s="5">
        <v>2002</v>
      </c>
      <c r="F496" s="5">
        <v>2162</v>
      </c>
      <c r="G496" s="3" t="s">
        <v>28</v>
      </c>
      <c r="H496" s="4">
        <v>16.84</v>
      </c>
      <c r="I496" s="4">
        <v>5.93</v>
      </c>
      <c r="J496" s="5">
        <v>94745</v>
      </c>
      <c r="K496" s="5">
        <v>108501</v>
      </c>
      <c r="L496" s="5">
        <v>56372</v>
      </c>
      <c r="M496" s="3" t="s">
        <v>23</v>
      </c>
      <c r="N496" s="10">
        <v>18288</v>
      </c>
      <c r="O496" s="12">
        <f>(Fact_Table[[#This Row],[Petrol_Output_BPD]]+Fact_Table[[#This Row],[Diesel_Output_BPD]]+Fact_Table[[#This Row],[Gas_Output_BPD]])/Fact_Table[[#This Row],[No_of_Employees]]</f>
        <v>120.08233117483812</v>
      </c>
      <c r="P496" s="2" t="str">
        <f>IF(Fact_Table[[#This Row],[0/P Producyivity/Day]]&gt;=1000,"High",IF(Fact_Table[[#This Row],[0/P Producyivity/Day]]&gt;=500,"Medium","Low"))</f>
        <v>Low</v>
      </c>
      <c r="Q496" s="10">
        <f>Fact_Table[[#This Row],[Capacity_BPD]]/Fact_Table[[#This Row],[Average_Salary_AED]]</f>
        <v>14.196194225721785</v>
      </c>
      <c r="R496" s="15">
        <f>(Fact_Table[[#This Row],[Petrol_Output_BPD]]/Fact_Table[[#This Row],[Capacity_BPD]])</f>
        <v>0.36493721593097606</v>
      </c>
      <c r="S496" s="15">
        <f>Fact_Table[[#This Row],[Diesel_Output_BPD]]/Fact_Table[[#This Row],[Capacity_BPD]]</f>
        <v>0.41792234804714584</v>
      </c>
      <c r="T496" s="15">
        <f>Fact_Table[[#This Row],[Gas_Output_BPD]]/Fact_Table[[#This Row],[Capacity_BPD]]</f>
        <v>0.21713273245512674</v>
      </c>
      <c r="U496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96" s="8">
        <f ca="1">YEAR(TODAY())-Fact_Table[[#This Row],[Commissioned_Year]]</f>
        <v>23</v>
      </c>
      <c r="W496" s="40" cm="1">
        <f t="array" ref="W496">_xlfn.XLOOKUP(Fact_Table[[#This Row],[Commissioned_Year]],cost_table[[#All],[Year]],cost_table[[#All],[Average_Crude_Price_USD_per_Barrel]],"0")</f>
        <v>24.4</v>
      </c>
      <c r="X496" s="40">
        <f>Fact_Table[[#This Row],[Capacity_BPD]]*Fact_Table[[#This Row],[cost per barrel]]</f>
        <v>6334728</v>
      </c>
    </row>
    <row r="497" spans="1:24" x14ac:dyDescent="0.35">
      <c r="A497" t="s">
        <v>36</v>
      </c>
      <c r="B497" t="s">
        <v>14</v>
      </c>
      <c r="C497" t="s">
        <v>33</v>
      </c>
      <c r="D497" s="5">
        <v>540724</v>
      </c>
      <c r="E497" s="5">
        <v>2012</v>
      </c>
      <c r="F497" s="5">
        <v>2094</v>
      </c>
      <c r="G497" s="3" t="s">
        <v>16</v>
      </c>
      <c r="H497" s="4">
        <v>8.44</v>
      </c>
      <c r="I497" s="4">
        <v>6.04</v>
      </c>
      <c r="J497" s="5">
        <v>236206</v>
      </c>
      <c r="K497" s="5">
        <v>221071</v>
      </c>
      <c r="L497" s="5">
        <v>83445</v>
      </c>
      <c r="M497" s="3" t="s">
        <v>34</v>
      </c>
      <c r="N497" s="10">
        <v>16223</v>
      </c>
      <c r="O497" s="12">
        <f>(Fact_Table[[#This Row],[Petrol_Output_BPD]]+Fact_Table[[#This Row],[Diesel_Output_BPD]]+Fact_Table[[#This Row],[Gas_Output_BPD]])/Fact_Table[[#This Row],[No_of_Employees]]</f>
        <v>258.22445081184338</v>
      </c>
      <c r="P497" s="2" t="str">
        <f>IF(Fact_Table[[#This Row],[0/P Producyivity/Day]]&gt;=1000,"High",IF(Fact_Table[[#This Row],[0/P Producyivity/Day]]&gt;=500,"Medium","Low"))</f>
        <v>Low</v>
      </c>
      <c r="Q497" s="10">
        <f>Fact_Table[[#This Row],[Capacity_BPD]]/Fact_Table[[#This Row],[Average_Salary_AED]]</f>
        <v>33.330703322443448</v>
      </c>
      <c r="R497" s="15">
        <f>(Fact_Table[[#This Row],[Petrol_Output_BPD]]/Fact_Table[[#This Row],[Capacity_BPD]])</f>
        <v>0.43683283893446562</v>
      </c>
      <c r="S497" s="15">
        <f>Fact_Table[[#This Row],[Diesel_Output_BPD]]/Fact_Table[[#This Row],[Capacity_BPD]]</f>
        <v>0.40884258882535268</v>
      </c>
      <c r="T497" s="15">
        <f>Fact_Table[[#This Row],[Gas_Output_BPD]]/Fact_Table[[#This Row],[Capacity_BPD]]</f>
        <v>0.15432087349553561</v>
      </c>
      <c r="U497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97" s="8">
        <f ca="1">YEAR(TODAY())-Fact_Table[[#This Row],[Commissioned_Year]]</f>
        <v>13</v>
      </c>
      <c r="W497" s="40" cm="1">
        <f t="array" ref="W497">_xlfn.XLOOKUP(Fact_Table[[#This Row],[Commissioned_Year]],cost_table[[#All],[Year]],cost_table[[#All],[Average_Crude_Price_USD_per_Barrel]],"0")</f>
        <v>72.400000000000006</v>
      </c>
      <c r="X497" s="40">
        <f>Fact_Table[[#This Row],[Capacity_BPD]]*Fact_Table[[#This Row],[cost per barrel]]</f>
        <v>39148417.600000001</v>
      </c>
    </row>
    <row r="498" spans="1:24" x14ac:dyDescent="0.35">
      <c r="A498" t="s">
        <v>45</v>
      </c>
      <c r="B498" t="s">
        <v>40</v>
      </c>
      <c r="C498" t="s">
        <v>39</v>
      </c>
      <c r="D498" s="5">
        <v>204941</v>
      </c>
      <c r="E498" s="5">
        <v>2014</v>
      </c>
      <c r="F498" s="5">
        <v>1335</v>
      </c>
      <c r="G498" s="3" t="s">
        <v>21</v>
      </c>
      <c r="H498" s="4">
        <v>11.75</v>
      </c>
      <c r="I498" s="4">
        <v>6.16</v>
      </c>
      <c r="J498" s="5">
        <v>65164</v>
      </c>
      <c r="K498" s="5">
        <v>105450</v>
      </c>
      <c r="L498" s="5">
        <v>34326</v>
      </c>
      <c r="M498" s="3" t="s">
        <v>29</v>
      </c>
      <c r="N498" s="10">
        <v>17415</v>
      </c>
      <c r="O498" s="12">
        <f>(Fact_Table[[#This Row],[Petrol_Output_BPD]]+Fact_Table[[#This Row],[Diesel_Output_BPD]]+Fact_Table[[#This Row],[Gas_Output_BPD]])/Fact_Table[[#This Row],[No_of_Employees]]</f>
        <v>153.51310861423221</v>
      </c>
      <c r="P498" s="2" t="str">
        <f>IF(Fact_Table[[#This Row],[0/P Producyivity/Day]]&gt;=1000,"High",IF(Fact_Table[[#This Row],[0/P Producyivity/Day]]&gt;=500,"Medium","Low"))</f>
        <v>Low</v>
      </c>
      <c r="Q498" s="10">
        <f>Fact_Table[[#This Row],[Capacity_BPD]]/Fact_Table[[#This Row],[Average_Salary_AED]]</f>
        <v>11.768073499856445</v>
      </c>
      <c r="R498" s="15">
        <f>(Fact_Table[[#This Row],[Petrol_Output_BPD]]/Fact_Table[[#This Row],[Capacity_BPD]])</f>
        <v>0.31796468251838333</v>
      </c>
      <c r="S498" s="15">
        <f>Fact_Table[[#This Row],[Diesel_Output_BPD]]/Fact_Table[[#This Row],[Capacity_BPD]]</f>
        <v>0.51453833054391263</v>
      </c>
      <c r="T498" s="15">
        <f>Fact_Table[[#This Row],[Gas_Output_BPD]]/Fact_Table[[#This Row],[Capacity_BPD]]</f>
        <v>0.16749210748459312</v>
      </c>
      <c r="U498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98" s="8">
        <f ca="1">YEAR(TODAY())-Fact_Table[[#This Row],[Commissioned_Year]]</f>
        <v>11</v>
      </c>
      <c r="W498" s="40" cm="1">
        <f t="array" ref="W498">_xlfn.XLOOKUP(Fact_Table[[#This Row],[Commissioned_Year]],cost_table[[#All],[Year]],cost_table[[#All],[Average_Crude_Price_USD_per_Barrel]],"0")</f>
        <v>61.9</v>
      </c>
      <c r="X498" s="40">
        <f>Fact_Table[[#This Row],[Capacity_BPD]]*Fact_Table[[#This Row],[cost per barrel]]</f>
        <v>12685847.9</v>
      </c>
    </row>
    <row r="499" spans="1:24" x14ac:dyDescent="0.35">
      <c r="A499" t="s">
        <v>36</v>
      </c>
      <c r="B499" t="s">
        <v>40</v>
      </c>
      <c r="C499" t="s">
        <v>50</v>
      </c>
      <c r="D499" s="5">
        <v>344595</v>
      </c>
      <c r="E499" s="5">
        <v>1997</v>
      </c>
      <c r="F499" s="5">
        <v>586</v>
      </c>
      <c r="G499" s="3" t="s">
        <v>31</v>
      </c>
      <c r="H499" s="4">
        <v>22.57</v>
      </c>
      <c r="I499" s="4">
        <v>6.45</v>
      </c>
      <c r="J499" s="5">
        <v>153987</v>
      </c>
      <c r="K499" s="5">
        <v>138265</v>
      </c>
      <c r="L499" s="5">
        <v>52341</v>
      </c>
      <c r="M499" s="3" t="s">
        <v>29</v>
      </c>
      <c r="N499" s="10">
        <v>22598</v>
      </c>
      <c r="O499" s="12">
        <f>(Fact_Table[[#This Row],[Petrol_Output_BPD]]+Fact_Table[[#This Row],[Diesel_Output_BPD]]+Fact_Table[[#This Row],[Gas_Output_BPD]])/Fact_Table[[#This Row],[No_of_Employees]]</f>
        <v>588.0426621160409</v>
      </c>
      <c r="P499" s="2" t="str">
        <f>IF(Fact_Table[[#This Row],[0/P Producyivity/Day]]&gt;=1000,"High",IF(Fact_Table[[#This Row],[0/P Producyivity/Day]]&gt;=500,"Medium","Low"))</f>
        <v>Medium</v>
      </c>
      <c r="Q499" s="10">
        <f>Fact_Table[[#This Row],[Capacity_BPD]]/Fact_Table[[#This Row],[Average_Salary_AED]]</f>
        <v>15.248915833259581</v>
      </c>
      <c r="R499" s="15">
        <f>(Fact_Table[[#This Row],[Petrol_Output_BPD]]/Fact_Table[[#This Row],[Capacity_BPD]])</f>
        <v>0.44686370957210636</v>
      </c>
      <c r="S499" s="15">
        <f>Fact_Table[[#This Row],[Diesel_Output_BPD]]/Fact_Table[[#This Row],[Capacity_BPD]]</f>
        <v>0.40123913579709514</v>
      </c>
      <c r="T499" s="15">
        <f>Fact_Table[[#This Row],[Gas_Output_BPD]]/Fact_Table[[#This Row],[Capacity_BPD]]</f>
        <v>0.15189135071605797</v>
      </c>
      <c r="U499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499" s="8">
        <f ca="1">YEAR(TODAY())-Fact_Table[[#This Row],[Commissioned_Year]]</f>
        <v>28</v>
      </c>
      <c r="W499" s="40" cm="1">
        <f t="array" ref="W499">_xlfn.XLOOKUP(Fact_Table[[#This Row],[Commissioned_Year]],cost_table[[#All],[Year]],cost_table[[#All],[Average_Crude_Price_USD_per_Barrel]],"0")</f>
        <v>15</v>
      </c>
      <c r="X499" s="40">
        <f>Fact_Table[[#This Row],[Capacity_BPD]]*Fact_Table[[#This Row],[cost per barrel]]</f>
        <v>5168925</v>
      </c>
    </row>
    <row r="500" spans="1:24" x14ac:dyDescent="0.35">
      <c r="A500" t="s">
        <v>24</v>
      </c>
      <c r="B500" t="s">
        <v>26</v>
      </c>
      <c r="C500" t="s">
        <v>33</v>
      </c>
      <c r="D500" s="5">
        <v>302138</v>
      </c>
      <c r="E500" s="5">
        <v>1977</v>
      </c>
      <c r="F500" s="5">
        <v>770</v>
      </c>
      <c r="G500" s="3" t="s">
        <v>28</v>
      </c>
      <c r="H500" s="4">
        <v>8.33</v>
      </c>
      <c r="I500" s="4">
        <v>8.4600000000000009</v>
      </c>
      <c r="J500" s="5">
        <v>119299</v>
      </c>
      <c r="K500" s="5">
        <v>132807</v>
      </c>
      <c r="L500" s="5">
        <v>50031</v>
      </c>
      <c r="M500" s="3" t="s">
        <v>29</v>
      </c>
      <c r="N500" s="10">
        <v>15650</v>
      </c>
      <c r="O500" s="12">
        <f>(Fact_Table[[#This Row],[Petrol_Output_BPD]]+Fact_Table[[#This Row],[Diesel_Output_BPD]]+Fact_Table[[#This Row],[Gas_Output_BPD]])/Fact_Table[[#This Row],[No_of_Employees]]</f>
        <v>392.3857142857143</v>
      </c>
      <c r="P500" s="2" t="str">
        <f>IF(Fact_Table[[#This Row],[0/P Producyivity/Day]]&gt;=1000,"High",IF(Fact_Table[[#This Row],[0/P Producyivity/Day]]&gt;=500,"Medium","Low"))</f>
        <v>Low</v>
      </c>
      <c r="Q500" s="10">
        <f>Fact_Table[[#This Row],[Capacity_BPD]]/Fact_Table[[#This Row],[Average_Salary_AED]]</f>
        <v>19.305942492012779</v>
      </c>
      <c r="R500" s="15">
        <f>(Fact_Table[[#This Row],[Petrol_Output_BPD]]/Fact_Table[[#This Row],[Capacity_BPD]])</f>
        <v>0.39484937346510535</v>
      </c>
      <c r="S500" s="15">
        <f>Fact_Table[[#This Row],[Diesel_Output_BPD]]/Fact_Table[[#This Row],[Capacity_BPD]]</f>
        <v>0.43955742078123244</v>
      </c>
      <c r="T500" s="15">
        <f>Fact_Table[[#This Row],[Gas_Output_BPD]]/Fact_Table[[#This Row],[Capacity_BPD]]</f>
        <v>0.16558989600778451</v>
      </c>
      <c r="U500" s="7" t="str">
        <f>IF(Fact_Table[[#This Row],[Environmental_Rating]]&gt;=8,"Excellent",IF(Fact_Table[[#This Row],[Environmental_Rating]]&gt;=5,"Good",IF(Fact_Table[[#This Row],[Environmental_Rating]]&gt;=3,"Average","Poor")))</f>
        <v>Excellent</v>
      </c>
      <c r="V500" s="8">
        <f ca="1">YEAR(TODAY())-Fact_Table[[#This Row],[Commissioned_Year]]</f>
        <v>48</v>
      </c>
      <c r="W500" s="40" cm="1">
        <f t="array" ref="W500">_xlfn.XLOOKUP(Fact_Table[[#This Row],[Commissioned_Year]],cost_table[[#All],[Year]],cost_table[[#All],[Average_Crude_Price_USD_per_Barrel]],"0")</f>
        <v>12.8</v>
      </c>
      <c r="X500" s="40">
        <f>Fact_Table[[#This Row],[Capacity_BPD]]*Fact_Table[[#This Row],[cost per barrel]]</f>
        <v>3867366.4000000004</v>
      </c>
    </row>
    <row r="501" spans="1:24" x14ac:dyDescent="0.35">
      <c r="A501" t="s">
        <v>36</v>
      </c>
      <c r="B501" t="s">
        <v>19</v>
      </c>
      <c r="C501" t="s">
        <v>47</v>
      </c>
      <c r="D501" s="5">
        <v>818038</v>
      </c>
      <c r="E501" s="5">
        <v>2000</v>
      </c>
      <c r="F501" s="5">
        <v>442</v>
      </c>
      <c r="G501" s="3" t="s">
        <v>16</v>
      </c>
      <c r="H501" s="4">
        <v>15.38</v>
      </c>
      <c r="I501" s="4">
        <v>5.17</v>
      </c>
      <c r="J501" s="5">
        <v>292922</v>
      </c>
      <c r="K501" s="5">
        <v>368197</v>
      </c>
      <c r="L501" s="5">
        <v>156918</v>
      </c>
      <c r="M501" s="3" t="s">
        <v>34</v>
      </c>
      <c r="N501" s="10">
        <v>22255</v>
      </c>
      <c r="O501" s="12">
        <f>(Fact_Table[[#This Row],[Petrol_Output_BPD]]+Fact_Table[[#This Row],[Diesel_Output_BPD]]+Fact_Table[[#This Row],[Gas_Output_BPD]])/Fact_Table[[#This Row],[No_of_Employees]]</f>
        <v>1850.762443438914</v>
      </c>
      <c r="P501" s="2" t="str">
        <f>IF(Fact_Table[[#This Row],[0/P Producyivity/Day]]&gt;=1000,"High",IF(Fact_Table[[#This Row],[0/P Producyivity/Day]]&gt;=500,"Medium","Low"))</f>
        <v>High</v>
      </c>
      <c r="Q501" s="10">
        <f>Fact_Table[[#This Row],[Capacity_BPD]]/Fact_Table[[#This Row],[Average_Salary_AED]]</f>
        <v>36.757492698270049</v>
      </c>
      <c r="R501" s="15">
        <f>(Fact_Table[[#This Row],[Petrol_Output_BPD]]/Fact_Table[[#This Row],[Capacity_BPD]])</f>
        <v>0.35807872005945934</v>
      </c>
      <c r="S501" s="15">
        <f>Fact_Table[[#This Row],[Diesel_Output_BPD]]/Fact_Table[[#This Row],[Capacity_BPD]]</f>
        <v>0.45009767272425</v>
      </c>
      <c r="T501" s="15">
        <f>Fact_Table[[#This Row],[Gas_Output_BPD]]/Fact_Table[[#This Row],[Capacity_BPD]]</f>
        <v>0.1918223847791912</v>
      </c>
      <c r="U501" s="7" t="str">
        <f>IF(Fact_Table[[#This Row],[Environmental_Rating]]&gt;=8,"Excellent",IF(Fact_Table[[#This Row],[Environmental_Rating]]&gt;=5,"Good",IF(Fact_Table[[#This Row],[Environmental_Rating]]&gt;=3,"Average","Poor")))</f>
        <v>Good</v>
      </c>
      <c r="V501" s="8">
        <f ca="1">YEAR(TODAY())-Fact_Table[[#This Row],[Commissioned_Year]]</f>
        <v>25</v>
      </c>
      <c r="W501" s="40" cm="1">
        <f t="array" ref="W501">_xlfn.XLOOKUP(Fact_Table[[#This Row],[Commissioned_Year]],cost_table[[#All],[Year]],cost_table[[#All],[Average_Crude_Price_USD_per_Barrel]],"0")</f>
        <v>23.1</v>
      </c>
      <c r="X501" s="40">
        <f>Fact_Table[[#This Row],[Capacity_BPD]]*Fact_Table[[#This Row],[cost per barrel]]</f>
        <v>18896677.800000001</v>
      </c>
    </row>
    <row r="505" spans="1:24" x14ac:dyDescent="0.35">
      <c r="E505" s="5" t="e" cm="1" vm="4">
        <f t="array" aca="1" ref="E505" ca="1">H:H</f>
        <v>#VALUE!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2846-0BC9-442B-A497-AA6F16E71EDE}">
  <dimension ref="A1:B52"/>
  <sheetViews>
    <sheetView topLeftCell="A10" workbookViewId="0">
      <selection sqref="A1:A1048576"/>
    </sheetView>
  </sheetViews>
  <sheetFormatPr defaultRowHeight="14.5" x14ac:dyDescent="0.35"/>
  <cols>
    <col min="1" max="1" width="8.7265625" style="5"/>
    <col min="2" max="2" width="34.08984375" customWidth="1"/>
  </cols>
  <sheetData>
    <row r="1" spans="1:2" x14ac:dyDescent="0.35">
      <c r="A1" s="5" t="s">
        <v>67</v>
      </c>
      <c r="B1" t="s">
        <v>68</v>
      </c>
    </row>
    <row r="2" spans="1:2" x14ac:dyDescent="0.35">
      <c r="A2" s="5">
        <v>1975</v>
      </c>
      <c r="B2">
        <v>10.7</v>
      </c>
    </row>
    <row r="3" spans="1:2" x14ac:dyDescent="0.35">
      <c r="A3" s="5">
        <v>1976</v>
      </c>
      <c r="B3">
        <v>11.2</v>
      </c>
    </row>
    <row r="4" spans="1:2" x14ac:dyDescent="0.35">
      <c r="A4" s="5">
        <v>1977</v>
      </c>
      <c r="B4">
        <v>12.8</v>
      </c>
    </row>
    <row r="5" spans="1:2" x14ac:dyDescent="0.35">
      <c r="A5" s="5">
        <v>1978</v>
      </c>
      <c r="B5">
        <v>13</v>
      </c>
    </row>
    <row r="6" spans="1:2" x14ac:dyDescent="0.35">
      <c r="A6" s="5">
        <v>1979</v>
      </c>
      <c r="B6">
        <v>31.6</v>
      </c>
    </row>
    <row r="7" spans="1:2" x14ac:dyDescent="0.35">
      <c r="A7" s="5">
        <v>1980</v>
      </c>
      <c r="B7">
        <v>36.799999999999997</v>
      </c>
    </row>
    <row r="8" spans="1:2" x14ac:dyDescent="0.35">
      <c r="A8" s="5">
        <v>1981</v>
      </c>
      <c r="B8">
        <v>35.700000000000003</v>
      </c>
    </row>
    <row r="9" spans="1:2" x14ac:dyDescent="0.35">
      <c r="A9" s="5">
        <v>1982</v>
      </c>
      <c r="B9">
        <v>32.799999999999997</v>
      </c>
    </row>
    <row r="10" spans="1:2" x14ac:dyDescent="0.35">
      <c r="A10" s="5">
        <v>1983</v>
      </c>
      <c r="B10">
        <v>29</v>
      </c>
    </row>
    <row r="11" spans="1:2" x14ac:dyDescent="0.35">
      <c r="A11" s="5">
        <v>1984</v>
      </c>
      <c r="B11">
        <v>28.5</v>
      </c>
    </row>
    <row r="12" spans="1:2" x14ac:dyDescent="0.35">
      <c r="A12" s="5">
        <v>1985</v>
      </c>
      <c r="B12">
        <v>26</v>
      </c>
    </row>
    <row r="13" spans="1:2" x14ac:dyDescent="0.35">
      <c r="A13" s="5">
        <v>1986</v>
      </c>
      <c r="B13">
        <v>14.4</v>
      </c>
    </row>
    <row r="14" spans="1:2" x14ac:dyDescent="0.35">
      <c r="A14" s="5">
        <v>1987</v>
      </c>
      <c r="B14">
        <v>18.399999999999999</v>
      </c>
    </row>
    <row r="15" spans="1:2" x14ac:dyDescent="0.35">
      <c r="A15" s="5">
        <v>1988</v>
      </c>
      <c r="B15">
        <v>14.9</v>
      </c>
    </row>
    <row r="16" spans="1:2" x14ac:dyDescent="0.35">
      <c r="A16" s="5">
        <v>1989</v>
      </c>
      <c r="B16">
        <v>18.2</v>
      </c>
    </row>
    <row r="17" spans="1:2" x14ac:dyDescent="0.35">
      <c r="A17" s="5">
        <v>1990</v>
      </c>
      <c r="B17">
        <v>22.3</v>
      </c>
    </row>
    <row r="18" spans="1:2" x14ac:dyDescent="0.35">
      <c r="A18" s="5">
        <v>1991</v>
      </c>
      <c r="B18">
        <v>18.399999999999999</v>
      </c>
    </row>
    <row r="19" spans="1:2" x14ac:dyDescent="0.35">
      <c r="A19" s="5">
        <v>1992</v>
      </c>
      <c r="B19">
        <v>14.4</v>
      </c>
    </row>
    <row r="20" spans="1:2" x14ac:dyDescent="0.35">
      <c r="A20" s="5">
        <v>1993</v>
      </c>
      <c r="B20">
        <v>17</v>
      </c>
    </row>
    <row r="21" spans="1:2" x14ac:dyDescent="0.35">
      <c r="A21" s="5">
        <v>1994</v>
      </c>
      <c r="B21">
        <v>15.9</v>
      </c>
    </row>
    <row r="22" spans="1:2" x14ac:dyDescent="0.35">
      <c r="A22" s="5">
        <v>1995</v>
      </c>
      <c r="B22">
        <v>20.100000000000001</v>
      </c>
    </row>
    <row r="23" spans="1:2" x14ac:dyDescent="0.35">
      <c r="A23" s="5">
        <v>1996</v>
      </c>
      <c r="B23">
        <v>18</v>
      </c>
    </row>
    <row r="24" spans="1:2" x14ac:dyDescent="0.35">
      <c r="A24" s="5">
        <v>1997</v>
      </c>
      <c r="B24">
        <v>15</v>
      </c>
    </row>
    <row r="25" spans="1:2" x14ac:dyDescent="0.35">
      <c r="A25" s="5">
        <v>1998</v>
      </c>
      <c r="B25">
        <v>12.8</v>
      </c>
    </row>
    <row r="26" spans="1:2" x14ac:dyDescent="0.35">
      <c r="A26" s="5">
        <v>1999</v>
      </c>
      <c r="B26">
        <v>17</v>
      </c>
    </row>
    <row r="27" spans="1:2" x14ac:dyDescent="0.35">
      <c r="A27" s="5">
        <v>2000</v>
      </c>
      <c r="B27">
        <v>23.1</v>
      </c>
    </row>
    <row r="28" spans="1:2" x14ac:dyDescent="0.35">
      <c r="A28" s="5">
        <v>2001</v>
      </c>
      <c r="B28">
        <v>28.4</v>
      </c>
    </row>
    <row r="29" spans="1:2" x14ac:dyDescent="0.35">
      <c r="A29" s="5">
        <v>2002</v>
      </c>
      <c r="B29">
        <v>24.4</v>
      </c>
    </row>
    <row r="30" spans="1:2" x14ac:dyDescent="0.35">
      <c r="A30" s="5">
        <v>2003</v>
      </c>
      <c r="B30">
        <v>17.2</v>
      </c>
    </row>
    <row r="31" spans="1:2" x14ac:dyDescent="0.35">
      <c r="A31" s="5">
        <v>2004</v>
      </c>
      <c r="B31">
        <v>18.600000000000001</v>
      </c>
    </row>
    <row r="32" spans="1:2" x14ac:dyDescent="0.35">
      <c r="A32" s="5">
        <v>2005</v>
      </c>
      <c r="B32">
        <v>25</v>
      </c>
    </row>
    <row r="33" spans="1:2" x14ac:dyDescent="0.35">
      <c r="A33" s="5">
        <v>2006</v>
      </c>
      <c r="B33">
        <v>28.8</v>
      </c>
    </row>
    <row r="34" spans="1:2" x14ac:dyDescent="0.35">
      <c r="A34" s="5">
        <v>2007</v>
      </c>
      <c r="B34">
        <v>24.4</v>
      </c>
    </row>
    <row r="35" spans="1:2" x14ac:dyDescent="0.35">
      <c r="A35" s="5">
        <v>2008</v>
      </c>
      <c r="B35">
        <v>31</v>
      </c>
    </row>
    <row r="36" spans="1:2" x14ac:dyDescent="0.35">
      <c r="A36" s="5">
        <v>2009</v>
      </c>
      <c r="B36">
        <v>41.4</v>
      </c>
    </row>
    <row r="37" spans="1:2" x14ac:dyDescent="0.35">
      <c r="A37" s="5">
        <v>2010</v>
      </c>
      <c r="B37">
        <v>56.6</v>
      </c>
    </row>
    <row r="38" spans="1:2" x14ac:dyDescent="0.35">
      <c r="A38" s="5">
        <v>2011</v>
      </c>
      <c r="B38">
        <v>66.099999999999994</v>
      </c>
    </row>
    <row r="39" spans="1:2" x14ac:dyDescent="0.35">
      <c r="A39" s="5">
        <v>2012</v>
      </c>
      <c r="B39">
        <v>72.400000000000006</v>
      </c>
    </row>
    <row r="40" spans="1:2" x14ac:dyDescent="0.35">
      <c r="A40" s="5">
        <v>2013</v>
      </c>
      <c r="B40">
        <v>97.3</v>
      </c>
    </row>
    <row r="41" spans="1:2" x14ac:dyDescent="0.35">
      <c r="A41" s="5">
        <v>2014</v>
      </c>
      <c r="B41">
        <v>61.9</v>
      </c>
    </row>
    <row r="42" spans="1:2" x14ac:dyDescent="0.35">
      <c r="A42" s="5">
        <v>2015</v>
      </c>
      <c r="B42">
        <v>43.7</v>
      </c>
    </row>
    <row r="43" spans="1:2" x14ac:dyDescent="0.35">
      <c r="A43" s="5">
        <v>2016</v>
      </c>
      <c r="B43">
        <v>54.2</v>
      </c>
    </row>
    <row r="44" spans="1:2" x14ac:dyDescent="0.35">
      <c r="A44" s="5">
        <v>2017</v>
      </c>
      <c r="B44">
        <v>71.3</v>
      </c>
    </row>
    <row r="45" spans="1:2" x14ac:dyDescent="0.35">
      <c r="A45" s="5">
        <v>2018</v>
      </c>
      <c r="B45">
        <v>100.2</v>
      </c>
    </row>
    <row r="46" spans="1:2" x14ac:dyDescent="0.35">
      <c r="A46" s="5">
        <v>2019</v>
      </c>
      <c r="B46">
        <v>52.3</v>
      </c>
    </row>
    <row r="47" spans="1:2" x14ac:dyDescent="0.35">
      <c r="A47" s="5">
        <v>2020</v>
      </c>
      <c r="B47">
        <v>43.7</v>
      </c>
    </row>
    <row r="48" spans="1:2" x14ac:dyDescent="0.35">
      <c r="A48" s="5">
        <v>2021</v>
      </c>
      <c r="B48">
        <v>54.2</v>
      </c>
    </row>
    <row r="49" spans="1:2" x14ac:dyDescent="0.35">
      <c r="A49" s="5">
        <v>2022</v>
      </c>
      <c r="B49">
        <v>71.3</v>
      </c>
    </row>
    <row r="50" spans="1:2" x14ac:dyDescent="0.35">
      <c r="A50" s="5">
        <v>2023</v>
      </c>
      <c r="B50">
        <v>64.3</v>
      </c>
    </row>
    <row r="51" spans="1:2" x14ac:dyDescent="0.35">
      <c r="A51" s="5">
        <v>2024</v>
      </c>
      <c r="B51">
        <v>41.9</v>
      </c>
    </row>
    <row r="52" spans="1:2" x14ac:dyDescent="0.35">
      <c r="A52" s="5">
        <v>2025</v>
      </c>
      <c r="B52">
        <v>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36A61-58E4-444E-BA5B-C0A67935CF15}">
  <dimension ref="A1:E55"/>
  <sheetViews>
    <sheetView workbookViewId="0">
      <selection activeCell="K10" sqref="K10"/>
    </sheetView>
  </sheetViews>
  <sheetFormatPr defaultRowHeight="14.5" x14ac:dyDescent="0.35"/>
  <cols>
    <col min="1" max="1" width="13.08984375" bestFit="1" customWidth="1"/>
    <col min="2" max="2" width="24" bestFit="1" customWidth="1"/>
    <col min="3" max="3" width="23.453125" bestFit="1" customWidth="1"/>
    <col min="4" max="4" width="21.36328125" bestFit="1" customWidth="1"/>
    <col min="5" max="5" width="23.08984375" bestFit="1" customWidth="1"/>
    <col min="6" max="149" width="5.81640625" bestFit="1" customWidth="1"/>
    <col min="150" max="501" width="6.81640625" bestFit="1" customWidth="1"/>
    <col min="502" max="502" width="10.36328125" bestFit="1" customWidth="1"/>
  </cols>
  <sheetData>
    <row r="1" spans="1:5" x14ac:dyDescent="0.35">
      <c r="A1" s="1" t="s">
        <v>1</v>
      </c>
      <c r="B1" t="s">
        <v>59</v>
      </c>
    </row>
    <row r="2" spans="1:5" x14ac:dyDescent="0.35">
      <c r="A2" s="1" t="s">
        <v>2</v>
      </c>
      <c r="B2" t="s">
        <v>59</v>
      </c>
    </row>
    <row r="3" spans="1:5" x14ac:dyDescent="0.35">
      <c r="A3" s="1" t="s">
        <v>0</v>
      </c>
      <c r="B3" t="s">
        <v>59</v>
      </c>
    </row>
    <row r="5" spans="1:5" x14ac:dyDescent="0.35">
      <c r="A5" s="1" t="s">
        <v>43</v>
      </c>
      <c r="B5" t="s">
        <v>62</v>
      </c>
      <c r="C5" t="s">
        <v>57</v>
      </c>
      <c r="D5" t="s">
        <v>58</v>
      </c>
      <c r="E5" t="s">
        <v>56</v>
      </c>
    </row>
    <row r="6" spans="1:5" x14ac:dyDescent="0.35">
      <c r="A6" s="8">
        <v>1975</v>
      </c>
      <c r="B6" s="6">
        <v>120861</v>
      </c>
      <c r="C6" s="5">
        <v>1362292</v>
      </c>
      <c r="D6" s="5">
        <v>544232</v>
      </c>
      <c r="E6" s="5">
        <v>1201362</v>
      </c>
    </row>
    <row r="7" spans="1:5" x14ac:dyDescent="0.35">
      <c r="A7" s="8">
        <v>1976</v>
      </c>
      <c r="B7" s="6">
        <v>184961</v>
      </c>
      <c r="C7" s="5">
        <v>1786670</v>
      </c>
      <c r="D7" s="5">
        <v>951790</v>
      </c>
      <c r="E7" s="5">
        <v>1675073</v>
      </c>
    </row>
    <row r="8" spans="1:5" x14ac:dyDescent="0.35">
      <c r="A8" s="8">
        <v>1977</v>
      </c>
      <c r="B8" s="6">
        <v>228237</v>
      </c>
      <c r="C8" s="5">
        <v>2850596</v>
      </c>
      <c r="D8" s="5">
        <v>1243469</v>
      </c>
      <c r="E8" s="5">
        <v>2531476</v>
      </c>
    </row>
    <row r="9" spans="1:5" x14ac:dyDescent="0.35">
      <c r="A9" s="8">
        <v>1978</v>
      </c>
      <c r="B9" s="6">
        <v>66138</v>
      </c>
      <c r="C9" s="5">
        <v>639716</v>
      </c>
      <c r="D9" s="5">
        <v>389545</v>
      </c>
      <c r="E9" s="5">
        <v>605485</v>
      </c>
    </row>
    <row r="10" spans="1:5" x14ac:dyDescent="0.35">
      <c r="A10" s="8">
        <v>1979</v>
      </c>
      <c r="B10" s="6">
        <v>115297</v>
      </c>
      <c r="C10" s="5">
        <v>822951</v>
      </c>
      <c r="D10" s="5">
        <v>404392</v>
      </c>
      <c r="E10" s="5">
        <v>731238</v>
      </c>
    </row>
    <row r="11" spans="1:5" x14ac:dyDescent="0.35">
      <c r="A11" s="8">
        <v>1980</v>
      </c>
      <c r="B11" s="6">
        <v>247713</v>
      </c>
      <c r="C11" s="5">
        <v>2378791</v>
      </c>
      <c r="D11" s="5">
        <v>833683</v>
      </c>
      <c r="E11" s="5">
        <v>1934303</v>
      </c>
    </row>
    <row r="12" spans="1:5" x14ac:dyDescent="0.35">
      <c r="A12" s="8">
        <v>1981</v>
      </c>
      <c r="B12" s="6">
        <v>95277</v>
      </c>
      <c r="C12" s="5">
        <v>1554592</v>
      </c>
      <c r="D12" s="5">
        <v>563442</v>
      </c>
      <c r="E12" s="5">
        <v>1185271</v>
      </c>
    </row>
    <row r="13" spans="1:5" x14ac:dyDescent="0.35">
      <c r="A13" s="8">
        <v>1982</v>
      </c>
      <c r="B13" s="6">
        <v>186478</v>
      </c>
      <c r="C13" s="5">
        <v>2101642</v>
      </c>
      <c r="D13" s="5">
        <v>820841</v>
      </c>
      <c r="E13" s="5">
        <v>1845256</v>
      </c>
    </row>
    <row r="14" spans="1:5" x14ac:dyDescent="0.35">
      <c r="A14" s="8">
        <v>1983</v>
      </c>
      <c r="B14" s="6">
        <v>214917</v>
      </c>
      <c r="C14" s="5">
        <v>2880229</v>
      </c>
      <c r="D14" s="5">
        <v>1256718</v>
      </c>
      <c r="E14" s="5">
        <v>2643868</v>
      </c>
    </row>
    <row r="15" spans="1:5" x14ac:dyDescent="0.35">
      <c r="A15" s="8">
        <v>1984</v>
      </c>
      <c r="B15" s="6">
        <v>129791</v>
      </c>
      <c r="C15" s="5">
        <v>1532207</v>
      </c>
      <c r="D15" s="5">
        <v>676592</v>
      </c>
      <c r="E15" s="5">
        <v>1349494</v>
      </c>
    </row>
    <row r="16" spans="1:5" x14ac:dyDescent="0.35">
      <c r="A16" s="8">
        <v>1985</v>
      </c>
      <c r="B16" s="6">
        <v>62351</v>
      </c>
      <c r="C16" s="5">
        <v>1127904</v>
      </c>
      <c r="D16" s="5">
        <v>499723</v>
      </c>
      <c r="E16" s="5">
        <v>1026543</v>
      </c>
    </row>
    <row r="17" spans="1:5" x14ac:dyDescent="0.35">
      <c r="A17" s="8">
        <v>1986</v>
      </c>
      <c r="B17" s="6">
        <v>116471</v>
      </c>
      <c r="C17" s="5">
        <v>1369773</v>
      </c>
      <c r="D17" s="5">
        <v>569123</v>
      </c>
      <c r="E17" s="5">
        <v>1276003</v>
      </c>
    </row>
    <row r="18" spans="1:5" x14ac:dyDescent="0.35">
      <c r="A18" s="8">
        <v>1987</v>
      </c>
      <c r="B18" s="6">
        <v>219399</v>
      </c>
      <c r="C18" s="5">
        <v>3023686</v>
      </c>
      <c r="D18" s="5">
        <v>1474882</v>
      </c>
      <c r="E18" s="5">
        <v>2715668</v>
      </c>
    </row>
    <row r="19" spans="1:5" x14ac:dyDescent="0.35">
      <c r="A19" s="8">
        <v>1988</v>
      </c>
      <c r="B19" s="6">
        <v>126269</v>
      </c>
      <c r="C19" s="5">
        <v>1416328</v>
      </c>
      <c r="D19" s="5">
        <v>682928</v>
      </c>
      <c r="E19" s="5">
        <v>1292754</v>
      </c>
    </row>
    <row r="20" spans="1:5" x14ac:dyDescent="0.35">
      <c r="A20" s="8">
        <v>1989</v>
      </c>
      <c r="B20" s="6">
        <v>157147</v>
      </c>
      <c r="C20" s="5">
        <v>2031931</v>
      </c>
      <c r="D20" s="5">
        <v>871051</v>
      </c>
      <c r="E20" s="5">
        <v>1645419</v>
      </c>
    </row>
    <row r="21" spans="1:5" x14ac:dyDescent="0.35">
      <c r="A21" s="8">
        <v>1990</v>
      </c>
      <c r="B21" s="6">
        <v>218268</v>
      </c>
      <c r="C21" s="5">
        <v>3130151</v>
      </c>
      <c r="D21" s="5">
        <v>1526364</v>
      </c>
      <c r="E21" s="5">
        <v>2911908</v>
      </c>
    </row>
    <row r="22" spans="1:5" x14ac:dyDescent="0.35">
      <c r="A22" s="8">
        <v>1991</v>
      </c>
      <c r="B22" s="6">
        <v>73378</v>
      </c>
      <c r="C22" s="5">
        <v>1285563</v>
      </c>
      <c r="D22" s="5">
        <v>636964</v>
      </c>
      <c r="E22" s="5">
        <v>1246519</v>
      </c>
    </row>
    <row r="23" spans="1:5" x14ac:dyDescent="0.35">
      <c r="A23" s="8">
        <v>1992</v>
      </c>
      <c r="B23" s="6">
        <v>145839</v>
      </c>
      <c r="C23" s="5">
        <v>1872071</v>
      </c>
      <c r="D23" s="5">
        <v>714722</v>
      </c>
      <c r="E23" s="5">
        <v>1599724</v>
      </c>
    </row>
    <row r="24" spans="1:5" x14ac:dyDescent="0.35">
      <c r="A24" s="8">
        <v>1993</v>
      </c>
      <c r="B24" s="6">
        <v>62016</v>
      </c>
      <c r="C24" s="5">
        <v>579681</v>
      </c>
      <c r="D24" s="5">
        <v>358256</v>
      </c>
      <c r="E24" s="5">
        <v>492659</v>
      </c>
    </row>
    <row r="25" spans="1:5" x14ac:dyDescent="0.35">
      <c r="A25" s="8">
        <v>1994</v>
      </c>
      <c r="B25" s="6">
        <v>136060</v>
      </c>
      <c r="C25" s="5">
        <v>1452991</v>
      </c>
      <c r="D25" s="5">
        <v>778841</v>
      </c>
      <c r="E25" s="5">
        <v>1264712</v>
      </c>
    </row>
    <row r="26" spans="1:5" x14ac:dyDescent="0.35">
      <c r="A26" s="8">
        <v>1995</v>
      </c>
      <c r="B26" s="6">
        <v>304489</v>
      </c>
      <c r="C26" s="5">
        <v>4320703</v>
      </c>
      <c r="D26" s="5">
        <v>1967020</v>
      </c>
      <c r="E26" s="5">
        <v>3477161</v>
      </c>
    </row>
    <row r="27" spans="1:5" x14ac:dyDescent="0.35">
      <c r="A27" s="8">
        <v>1996</v>
      </c>
      <c r="B27" s="6">
        <v>176583</v>
      </c>
      <c r="C27" s="5">
        <v>2284882</v>
      </c>
      <c r="D27" s="5">
        <v>1145662</v>
      </c>
      <c r="E27" s="5">
        <v>1928783</v>
      </c>
    </row>
    <row r="28" spans="1:5" x14ac:dyDescent="0.35">
      <c r="A28" s="8">
        <v>1997</v>
      </c>
      <c r="B28" s="6">
        <v>152849</v>
      </c>
      <c r="C28" s="5">
        <v>1797381</v>
      </c>
      <c r="D28" s="5">
        <v>803569</v>
      </c>
      <c r="E28" s="5">
        <v>1690999</v>
      </c>
    </row>
    <row r="29" spans="1:5" x14ac:dyDescent="0.35">
      <c r="A29" s="8">
        <v>1998</v>
      </c>
      <c r="B29" s="6">
        <v>147435</v>
      </c>
      <c r="C29" s="5">
        <v>1731285</v>
      </c>
      <c r="D29" s="5">
        <v>711926</v>
      </c>
      <c r="E29" s="5">
        <v>1379113</v>
      </c>
    </row>
    <row r="30" spans="1:5" x14ac:dyDescent="0.35">
      <c r="A30" s="8">
        <v>1999</v>
      </c>
      <c r="B30" s="6">
        <v>83385</v>
      </c>
      <c r="C30" s="5">
        <v>1278466</v>
      </c>
      <c r="D30" s="5">
        <v>553677</v>
      </c>
      <c r="E30" s="5">
        <v>1094067</v>
      </c>
    </row>
    <row r="31" spans="1:5" x14ac:dyDescent="0.35">
      <c r="A31" s="8">
        <v>2000</v>
      </c>
      <c r="B31" s="6">
        <v>270979</v>
      </c>
      <c r="C31" s="5">
        <v>3187698</v>
      </c>
      <c r="D31" s="5">
        <v>1274519</v>
      </c>
      <c r="E31" s="5">
        <v>2973128</v>
      </c>
    </row>
    <row r="32" spans="1:5" x14ac:dyDescent="0.35">
      <c r="A32" s="8">
        <v>2001</v>
      </c>
      <c r="B32" s="6">
        <v>115413</v>
      </c>
      <c r="C32" s="5">
        <v>1666686</v>
      </c>
      <c r="D32" s="5">
        <v>868868</v>
      </c>
      <c r="E32" s="5">
        <v>1405803</v>
      </c>
    </row>
    <row r="33" spans="1:5" x14ac:dyDescent="0.35">
      <c r="A33" s="8">
        <v>2002</v>
      </c>
      <c r="B33" s="6">
        <v>216368</v>
      </c>
      <c r="C33" s="5">
        <v>2562421</v>
      </c>
      <c r="D33" s="5">
        <v>1336836</v>
      </c>
      <c r="E33" s="5">
        <v>2178776</v>
      </c>
    </row>
    <row r="34" spans="1:5" x14ac:dyDescent="0.35">
      <c r="A34" s="8">
        <v>2003</v>
      </c>
      <c r="B34" s="6">
        <v>170808</v>
      </c>
      <c r="C34" s="5">
        <v>1675444</v>
      </c>
      <c r="D34" s="5">
        <v>680266</v>
      </c>
      <c r="E34" s="5">
        <v>1265238</v>
      </c>
    </row>
    <row r="35" spans="1:5" x14ac:dyDescent="0.35">
      <c r="A35" s="8">
        <v>2004</v>
      </c>
      <c r="B35" s="6">
        <v>186287</v>
      </c>
      <c r="C35" s="5">
        <v>1950696</v>
      </c>
      <c r="D35" s="5">
        <v>743828</v>
      </c>
      <c r="E35" s="5">
        <v>1547443</v>
      </c>
    </row>
    <row r="36" spans="1:5" x14ac:dyDescent="0.35">
      <c r="A36" s="8">
        <v>2005</v>
      </c>
      <c r="B36" s="6">
        <v>181353</v>
      </c>
      <c r="C36" s="5">
        <v>2021600</v>
      </c>
      <c r="D36" s="5">
        <v>767724</v>
      </c>
      <c r="E36" s="5">
        <v>1935504</v>
      </c>
    </row>
    <row r="37" spans="1:5" x14ac:dyDescent="0.35">
      <c r="A37" s="8">
        <v>2006</v>
      </c>
      <c r="B37" s="6">
        <v>114596</v>
      </c>
      <c r="C37" s="5">
        <v>1617964</v>
      </c>
      <c r="D37" s="5">
        <v>808690</v>
      </c>
      <c r="E37" s="5">
        <v>1404049</v>
      </c>
    </row>
    <row r="38" spans="1:5" x14ac:dyDescent="0.35">
      <c r="A38" s="8">
        <v>2007</v>
      </c>
      <c r="B38" s="6">
        <v>208956</v>
      </c>
      <c r="C38" s="5">
        <v>2614541</v>
      </c>
      <c r="D38" s="5">
        <v>990190</v>
      </c>
      <c r="E38" s="5">
        <v>1986975</v>
      </c>
    </row>
    <row r="39" spans="1:5" x14ac:dyDescent="0.35">
      <c r="A39" s="8">
        <v>2008</v>
      </c>
      <c r="B39" s="6">
        <v>195261</v>
      </c>
      <c r="C39" s="5">
        <v>2293622</v>
      </c>
      <c r="D39" s="5">
        <v>892382</v>
      </c>
      <c r="E39" s="5">
        <v>1708796</v>
      </c>
    </row>
    <row r="40" spans="1:5" x14ac:dyDescent="0.35">
      <c r="A40" s="8">
        <v>2009</v>
      </c>
      <c r="B40" s="6">
        <v>261383</v>
      </c>
      <c r="C40" s="5">
        <v>3107741</v>
      </c>
      <c r="D40" s="5">
        <v>1349405</v>
      </c>
      <c r="E40" s="5">
        <v>2865190</v>
      </c>
    </row>
    <row r="41" spans="1:5" x14ac:dyDescent="0.35">
      <c r="A41" s="8">
        <v>2010</v>
      </c>
      <c r="B41" s="6">
        <v>209035</v>
      </c>
      <c r="C41" s="5">
        <v>3064907</v>
      </c>
      <c r="D41" s="5">
        <v>1074458</v>
      </c>
      <c r="E41" s="5">
        <v>2521514</v>
      </c>
    </row>
    <row r="42" spans="1:5" x14ac:dyDescent="0.35">
      <c r="A42" s="8">
        <v>2011</v>
      </c>
      <c r="B42" s="6">
        <v>231627</v>
      </c>
      <c r="C42" s="5">
        <v>3159753</v>
      </c>
      <c r="D42" s="5">
        <v>1311521</v>
      </c>
      <c r="E42" s="5">
        <v>2520328</v>
      </c>
    </row>
    <row r="43" spans="1:5" x14ac:dyDescent="0.35">
      <c r="A43" s="8">
        <v>2012</v>
      </c>
      <c r="B43" s="6">
        <v>174810</v>
      </c>
      <c r="C43" s="5">
        <v>2588114</v>
      </c>
      <c r="D43" s="5">
        <v>910001</v>
      </c>
      <c r="E43" s="5">
        <v>2041247</v>
      </c>
    </row>
    <row r="44" spans="1:5" x14ac:dyDescent="0.35">
      <c r="A44" s="8">
        <v>2013</v>
      </c>
      <c r="B44" s="6">
        <v>150163</v>
      </c>
      <c r="C44" s="5">
        <v>1684384</v>
      </c>
      <c r="D44" s="5">
        <v>762506</v>
      </c>
      <c r="E44" s="5">
        <v>1559055</v>
      </c>
    </row>
    <row r="45" spans="1:5" x14ac:dyDescent="0.35">
      <c r="A45" s="8">
        <v>2014</v>
      </c>
      <c r="B45" s="6">
        <v>129812</v>
      </c>
      <c r="C45" s="5">
        <v>1553814</v>
      </c>
      <c r="D45" s="5">
        <v>570829</v>
      </c>
      <c r="E45" s="5">
        <v>1193467</v>
      </c>
    </row>
    <row r="46" spans="1:5" x14ac:dyDescent="0.35">
      <c r="A46" s="8">
        <v>2015</v>
      </c>
      <c r="B46" s="6">
        <v>332484</v>
      </c>
      <c r="C46" s="5">
        <v>3377413</v>
      </c>
      <c r="D46" s="5">
        <v>1412792</v>
      </c>
      <c r="E46" s="5">
        <v>2644540</v>
      </c>
    </row>
    <row r="47" spans="1:5" x14ac:dyDescent="0.35">
      <c r="A47" s="8">
        <v>2016</v>
      </c>
      <c r="B47" s="6">
        <v>177691</v>
      </c>
      <c r="C47" s="5">
        <v>1794196</v>
      </c>
      <c r="D47" s="5">
        <v>866218</v>
      </c>
      <c r="E47" s="5">
        <v>1585686</v>
      </c>
    </row>
    <row r="48" spans="1:5" x14ac:dyDescent="0.35">
      <c r="A48" s="8">
        <v>2017</v>
      </c>
      <c r="B48" s="6">
        <v>199634</v>
      </c>
      <c r="C48" s="5">
        <v>2998428</v>
      </c>
      <c r="D48" s="5">
        <v>1226424</v>
      </c>
      <c r="E48" s="5">
        <v>2523777</v>
      </c>
    </row>
    <row r="49" spans="1:5" x14ac:dyDescent="0.35">
      <c r="A49" s="8">
        <v>2018</v>
      </c>
      <c r="B49" s="6">
        <v>142951</v>
      </c>
      <c r="C49" s="5">
        <v>2315375</v>
      </c>
      <c r="D49" s="5">
        <v>923855</v>
      </c>
      <c r="E49" s="5">
        <v>1915345</v>
      </c>
    </row>
    <row r="50" spans="1:5" x14ac:dyDescent="0.35">
      <c r="A50" s="8">
        <v>2019</v>
      </c>
      <c r="B50" s="6">
        <v>146312</v>
      </c>
      <c r="C50" s="5">
        <v>1675647</v>
      </c>
      <c r="D50" s="5">
        <v>688495</v>
      </c>
      <c r="E50" s="5">
        <v>1394961</v>
      </c>
    </row>
    <row r="51" spans="1:5" x14ac:dyDescent="0.35">
      <c r="A51" s="8">
        <v>2020</v>
      </c>
      <c r="B51" s="6">
        <v>77709</v>
      </c>
      <c r="C51" s="5">
        <v>1172863</v>
      </c>
      <c r="D51" s="5">
        <v>450834</v>
      </c>
      <c r="E51" s="5">
        <v>872558</v>
      </c>
    </row>
    <row r="52" spans="1:5" x14ac:dyDescent="0.35">
      <c r="A52" s="8">
        <v>2021</v>
      </c>
      <c r="B52" s="6">
        <v>255603</v>
      </c>
      <c r="C52" s="5">
        <v>3170156</v>
      </c>
      <c r="D52" s="5">
        <v>1347778</v>
      </c>
      <c r="E52" s="5">
        <v>2736413</v>
      </c>
    </row>
    <row r="53" spans="1:5" x14ac:dyDescent="0.35">
      <c r="A53" s="8">
        <v>2022</v>
      </c>
      <c r="B53" s="6">
        <v>257932</v>
      </c>
      <c r="C53" s="5">
        <v>3515895</v>
      </c>
      <c r="D53" s="5">
        <v>1496115</v>
      </c>
      <c r="E53" s="5">
        <v>2785531</v>
      </c>
    </row>
    <row r="54" spans="1:5" x14ac:dyDescent="0.35">
      <c r="A54" s="8">
        <v>2023</v>
      </c>
      <c r="B54" s="6">
        <v>139562</v>
      </c>
      <c r="C54" s="5">
        <v>2020308</v>
      </c>
      <c r="D54" s="5">
        <v>901747</v>
      </c>
      <c r="E54" s="5">
        <v>1456164</v>
      </c>
    </row>
    <row r="55" spans="1:5" x14ac:dyDescent="0.35">
      <c r="A55" s="8" t="s">
        <v>42</v>
      </c>
      <c r="B55" s="6">
        <v>8318338</v>
      </c>
      <c r="C55" s="5">
        <v>103402148</v>
      </c>
      <c r="D55" s="5">
        <v>44635693</v>
      </c>
      <c r="E55" s="5">
        <v>87766346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0617-A1B4-49BE-AB6C-F8331B04D3F3}">
  <dimension ref="A1:S11"/>
  <sheetViews>
    <sheetView workbookViewId="0">
      <selection activeCell="H14" sqref="H14"/>
    </sheetView>
  </sheetViews>
  <sheetFormatPr defaultRowHeight="14.5" x14ac:dyDescent="0.35"/>
  <cols>
    <col min="1" max="1" width="21.36328125" bestFit="1" customWidth="1"/>
    <col min="2" max="2" width="13.6328125" bestFit="1" customWidth="1"/>
    <col min="3" max="3" width="17.453125" bestFit="1" customWidth="1"/>
    <col min="4" max="4" width="12.54296875" bestFit="1" customWidth="1"/>
    <col min="5" max="5" width="18.1796875" bestFit="1" customWidth="1"/>
    <col min="6" max="6" width="15.54296875" bestFit="1" customWidth="1"/>
    <col min="7" max="7" width="12.54296875" bestFit="1" customWidth="1"/>
    <col min="8" max="8" width="28.7265625" bestFit="1" customWidth="1"/>
    <col min="9" max="9" width="19.36328125" bestFit="1" customWidth="1"/>
    <col min="10" max="10" width="16.7265625" bestFit="1" customWidth="1"/>
    <col min="11" max="11" width="17.1796875" bestFit="1" customWidth="1"/>
    <col min="12" max="12" width="15" bestFit="1" customWidth="1"/>
    <col min="13" max="13" width="17.36328125" bestFit="1" customWidth="1"/>
    <col min="14" max="14" width="17.7265625" bestFit="1" customWidth="1"/>
    <col min="15" max="15" width="18.453125" bestFit="1" customWidth="1"/>
    <col min="16" max="16" width="7.26953125" bestFit="1" customWidth="1"/>
    <col min="19" max="19" width="11.6328125" bestFit="1" customWidth="1"/>
  </cols>
  <sheetData>
    <row r="1" spans="1:19" x14ac:dyDescent="0.35">
      <c r="A1" s="16" t="s">
        <v>0</v>
      </c>
      <c r="B1" s="17" t="s">
        <v>1</v>
      </c>
      <c r="C1" s="17" t="s">
        <v>2</v>
      </c>
      <c r="D1" s="18" t="s">
        <v>3</v>
      </c>
      <c r="E1" s="18" t="s">
        <v>4</v>
      </c>
      <c r="F1" s="18" t="s">
        <v>5</v>
      </c>
      <c r="G1" s="19" t="s">
        <v>6</v>
      </c>
      <c r="H1" s="20" t="s">
        <v>7</v>
      </c>
      <c r="I1" s="20" t="s">
        <v>8</v>
      </c>
      <c r="J1" s="18" t="s">
        <v>9</v>
      </c>
      <c r="K1" s="18" t="s">
        <v>10</v>
      </c>
      <c r="L1" s="18" t="s">
        <v>11</v>
      </c>
      <c r="M1" s="19" t="s">
        <v>12</v>
      </c>
      <c r="N1" s="21" t="s">
        <v>13</v>
      </c>
      <c r="O1" s="21" t="s">
        <v>44</v>
      </c>
      <c r="P1" s="21" t="s">
        <v>53</v>
      </c>
      <c r="Q1" s="21" t="s">
        <v>54</v>
      </c>
      <c r="R1" s="21" t="s">
        <v>55</v>
      </c>
      <c r="S1" s="21" t="s">
        <v>61</v>
      </c>
    </row>
    <row r="2" spans="1:19" x14ac:dyDescent="0.35">
      <c r="A2" s="22" t="s">
        <v>35</v>
      </c>
      <c r="B2" s="23" t="s">
        <v>26</v>
      </c>
      <c r="C2" s="23" t="s">
        <v>20</v>
      </c>
      <c r="D2" s="24">
        <v>809530</v>
      </c>
      <c r="E2" s="24">
        <v>2010</v>
      </c>
      <c r="F2" s="24">
        <v>1529</v>
      </c>
      <c r="G2" s="25" t="s">
        <v>28</v>
      </c>
      <c r="H2" s="26">
        <v>20.29</v>
      </c>
      <c r="I2" s="26">
        <v>9.4499999999999993</v>
      </c>
      <c r="J2" s="24">
        <v>389181</v>
      </c>
      <c r="K2" s="24">
        <v>296448</v>
      </c>
      <c r="L2" s="24">
        <v>123900</v>
      </c>
      <c r="M2" s="25" t="s">
        <v>29</v>
      </c>
      <c r="N2" s="27">
        <v>24526</v>
      </c>
      <c r="O2" s="28">
        <v>529.44996729888817</v>
      </c>
      <c r="P2" s="29">
        <v>0.48074932368164242</v>
      </c>
      <c r="Q2" s="29">
        <v>0.36619767025310984</v>
      </c>
      <c r="R2" s="29">
        <v>0.15305177078057638</v>
      </c>
      <c r="S2" s="30" t="s">
        <v>63</v>
      </c>
    </row>
    <row r="3" spans="1:19" x14ac:dyDescent="0.35">
      <c r="A3" s="31" t="s">
        <v>37</v>
      </c>
      <c r="B3" s="32" t="s">
        <v>40</v>
      </c>
      <c r="C3" s="32" t="s">
        <v>50</v>
      </c>
      <c r="D3" s="33">
        <v>205271</v>
      </c>
      <c r="E3" s="33">
        <v>1990</v>
      </c>
      <c r="F3" s="33">
        <v>785</v>
      </c>
      <c r="G3" s="34" t="s">
        <v>28</v>
      </c>
      <c r="H3" s="35">
        <v>17.07</v>
      </c>
      <c r="I3" s="35">
        <v>7.17</v>
      </c>
      <c r="J3" s="33">
        <v>97716</v>
      </c>
      <c r="K3" s="33">
        <v>76195</v>
      </c>
      <c r="L3" s="33">
        <v>31358</v>
      </c>
      <c r="M3" s="34" t="s">
        <v>29</v>
      </c>
      <c r="N3" s="36">
        <v>11277</v>
      </c>
      <c r="O3" s="37">
        <v>261.48917197452232</v>
      </c>
      <c r="P3" s="38">
        <v>0.47603412074769452</v>
      </c>
      <c r="Q3" s="38">
        <v>0.37119222880971986</v>
      </c>
      <c r="R3" s="38">
        <v>0.15276390722508293</v>
      </c>
      <c r="S3" s="39" t="s">
        <v>64</v>
      </c>
    </row>
    <row r="4" spans="1:19" x14ac:dyDescent="0.35">
      <c r="A4" s="22" t="s">
        <v>45</v>
      </c>
      <c r="B4" s="23" t="s">
        <v>25</v>
      </c>
      <c r="C4" s="23" t="s">
        <v>51</v>
      </c>
      <c r="D4" s="24">
        <v>668796</v>
      </c>
      <c r="E4" s="24">
        <v>2005</v>
      </c>
      <c r="F4" s="24">
        <v>1704</v>
      </c>
      <c r="G4" s="25" t="s">
        <v>31</v>
      </c>
      <c r="H4" s="26">
        <v>14.69</v>
      </c>
      <c r="I4" s="26">
        <v>9.16</v>
      </c>
      <c r="J4" s="24">
        <v>315789</v>
      </c>
      <c r="K4" s="24">
        <v>273002</v>
      </c>
      <c r="L4" s="24">
        <v>80004</v>
      </c>
      <c r="M4" s="25" t="s">
        <v>17</v>
      </c>
      <c r="N4" s="27">
        <v>19582</v>
      </c>
      <c r="O4" s="28">
        <v>392.48532863849766</v>
      </c>
      <c r="P4" s="29">
        <v>0.47217537186227193</v>
      </c>
      <c r="Q4" s="29">
        <v>0.40819921171777346</v>
      </c>
      <c r="R4" s="29">
        <v>0.11962392119570094</v>
      </c>
      <c r="S4" s="30" t="s">
        <v>63</v>
      </c>
    </row>
    <row r="5" spans="1:19" x14ac:dyDescent="0.35">
      <c r="A5" s="31" t="s">
        <v>27</v>
      </c>
      <c r="B5" s="32" t="s">
        <v>25</v>
      </c>
      <c r="C5" s="32" t="s">
        <v>46</v>
      </c>
      <c r="D5" s="33">
        <v>169135</v>
      </c>
      <c r="E5" s="33">
        <v>1977</v>
      </c>
      <c r="F5" s="33">
        <v>1321</v>
      </c>
      <c r="G5" s="34" t="s">
        <v>28</v>
      </c>
      <c r="H5" s="35">
        <v>12.76</v>
      </c>
      <c r="I5" s="35">
        <v>6.69</v>
      </c>
      <c r="J5" s="33">
        <v>79993</v>
      </c>
      <c r="K5" s="33">
        <v>57502</v>
      </c>
      <c r="L5" s="33">
        <v>31639</v>
      </c>
      <c r="M5" s="34" t="s">
        <v>17</v>
      </c>
      <c r="N5" s="36">
        <v>21892</v>
      </c>
      <c r="O5" s="37">
        <v>128.03482210446631</v>
      </c>
      <c r="P5" s="38">
        <v>0.4729535578088509</v>
      </c>
      <c r="Q5" s="38">
        <v>0.33997694149643776</v>
      </c>
      <c r="R5" s="38">
        <v>0.18706358825790048</v>
      </c>
      <c r="S5" s="39" t="s">
        <v>64</v>
      </c>
    </row>
    <row r="6" spans="1:19" x14ac:dyDescent="0.35">
      <c r="A6" s="22" t="s">
        <v>22</v>
      </c>
      <c r="B6" s="23" t="s">
        <v>40</v>
      </c>
      <c r="C6" s="23" t="s">
        <v>47</v>
      </c>
      <c r="D6" s="24">
        <v>117950</v>
      </c>
      <c r="E6" s="24">
        <v>1979</v>
      </c>
      <c r="F6" s="24">
        <v>1650</v>
      </c>
      <c r="G6" s="25" t="s">
        <v>28</v>
      </c>
      <c r="H6" s="26">
        <v>15.62</v>
      </c>
      <c r="I6" s="26">
        <v>8.26</v>
      </c>
      <c r="J6" s="24">
        <v>59117</v>
      </c>
      <c r="K6" s="24">
        <v>43344</v>
      </c>
      <c r="L6" s="24">
        <v>15488</v>
      </c>
      <c r="M6" s="25" t="s">
        <v>38</v>
      </c>
      <c r="N6" s="27">
        <v>13907</v>
      </c>
      <c r="O6" s="28">
        <v>71.484242424242424</v>
      </c>
      <c r="P6" s="29">
        <v>0.50120389995760917</v>
      </c>
      <c r="Q6" s="29">
        <v>0.36747774480712164</v>
      </c>
      <c r="R6" s="29">
        <v>0.13130987706655362</v>
      </c>
      <c r="S6" s="30" t="s">
        <v>63</v>
      </c>
    </row>
    <row r="7" spans="1:19" x14ac:dyDescent="0.35">
      <c r="A7" s="31" t="s">
        <v>35</v>
      </c>
      <c r="B7" s="32" t="s">
        <v>14</v>
      </c>
      <c r="C7" s="32" t="s">
        <v>20</v>
      </c>
      <c r="D7" s="33">
        <v>623125</v>
      </c>
      <c r="E7" s="33">
        <v>2011</v>
      </c>
      <c r="F7" s="33">
        <v>1852</v>
      </c>
      <c r="G7" s="34" t="s">
        <v>16</v>
      </c>
      <c r="H7" s="35">
        <v>11.33</v>
      </c>
      <c r="I7" s="35">
        <v>7.47</v>
      </c>
      <c r="J7" s="33">
        <v>295303</v>
      </c>
      <c r="K7" s="33">
        <v>245724</v>
      </c>
      <c r="L7" s="33">
        <v>82096</v>
      </c>
      <c r="M7" s="34" t="s">
        <v>34</v>
      </c>
      <c r="N7" s="36">
        <v>11241</v>
      </c>
      <c r="O7" s="37">
        <v>336.4595032397408</v>
      </c>
      <c r="P7" s="38">
        <v>0.47390651955867602</v>
      </c>
      <c r="Q7" s="38">
        <v>0.39434142427281843</v>
      </c>
      <c r="R7" s="38">
        <v>0.13174884653961885</v>
      </c>
      <c r="S7" s="39" t="s">
        <v>64</v>
      </c>
    </row>
    <row r="8" spans="1:19" x14ac:dyDescent="0.35">
      <c r="A8" s="22" t="s">
        <v>27</v>
      </c>
      <c r="B8" s="23" t="s">
        <v>26</v>
      </c>
      <c r="C8" s="23" t="s">
        <v>39</v>
      </c>
      <c r="D8" s="24">
        <v>245076</v>
      </c>
      <c r="E8" s="24">
        <v>2021</v>
      </c>
      <c r="F8" s="24">
        <v>816</v>
      </c>
      <c r="G8" s="25" t="s">
        <v>16</v>
      </c>
      <c r="H8" s="26">
        <v>24.19</v>
      </c>
      <c r="I8" s="26">
        <v>9.93</v>
      </c>
      <c r="J8" s="24">
        <v>116635</v>
      </c>
      <c r="K8" s="24">
        <v>85500</v>
      </c>
      <c r="L8" s="24">
        <v>42939</v>
      </c>
      <c r="M8" s="25" t="s">
        <v>29</v>
      </c>
      <c r="N8" s="27">
        <v>23687</v>
      </c>
      <c r="O8" s="28">
        <v>300.33578431372547</v>
      </c>
      <c r="P8" s="29">
        <v>0.47591359415038598</v>
      </c>
      <c r="Q8" s="29">
        <v>0.34887137051363659</v>
      </c>
      <c r="R8" s="29">
        <v>0.17520687460216422</v>
      </c>
      <c r="S8" s="30" t="s">
        <v>63</v>
      </c>
    </row>
    <row r="9" spans="1:19" x14ac:dyDescent="0.35">
      <c r="A9" s="31" t="s">
        <v>18</v>
      </c>
      <c r="B9" s="32" t="s">
        <v>40</v>
      </c>
      <c r="C9" s="32" t="s">
        <v>49</v>
      </c>
      <c r="D9" s="33">
        <v>142221</v>
      </c>
      <c r="E9" s="33">
        <v>2019</v>
      </c>
      <c r="F9" s="33">
        <v>2014</v>
      </c>
      <c r="G9" s="34" t="s">
        <v>16</v>
      </c>
      <c r="H9" s="35">
        <v>17.32</v>
      </c>
      <c r="I9" s="35">
        <v>9.6199999999999992</v>
      </c>
      <c r="J9" s="33">
        <v>70416</v>
      </c>
      <c r="K9" s="33">
        <v>53321</v>
      </c>
      <c r="L9" s="33">
        <v>18482</v>
      </c>
      <c r="M9" s="34" t="s">
        <v>34</v>
      </c>
      <c r="N9" s="36">
        <v>9718</v>
      </c>
      <c r="O9" s="37">
        <v>70.615193644488585</v>
      </c>
      <c r="P9" s="38">
        <v>0.49511675490961249</v>
      </c>
      <c r="Q9" s="38">
        <v>0.37491650318869929</v>
      </c>
      <c r="R9" s="38">
        <v>0.12995267928083756</v>
      </c>
      <c r="S9" s="39" t="s">
        <v>63</v>
      </c>
    </row>
    <row r="10" spans="1:19" x14ac:dyDescent="0.35">
      <c r="A10" s="22" t="s">
        <v>24</v>
      </c>
      <c r="B10" s="23" t="s">
        <v>40</v>
      </c>
      <c r="C10" s="23" t="s">
        <v>15</v>
      </c>
      <c r="D10" s="24">
        <v>776076</v>
      </c>
      <c r="E10" s="24">
        <v>1983</v>
      </c>
      <c r="F10" s="24">
        <v>740</v>
      </c>
      <c r="G10" s="25" t="s">
        <v>16</v>
      </c>
      <c r="H10" s="26">
        <v>31.79</v>
      </c>
      <c r="I10" s="26">
        <v>8</v>
      </c>
      <c r="J10" s="24">
        <v>370444</v>
      </c>
      <c r="K10" s="24">
        <v>278807</v>
      </c>
      <c r="L10" s="24">
        <v>126823</v>
      </c>
      <c r="M10" s="25" t="s">
        <v>38</v>
      </c>
      <c r="N10" s="27">
        <v>19992</v>
      </c>
      <c r="O10" s="28">
        <v>1048.7486486486487</v>
      </c>
      <c r="P10" s="29">
        <v>0.47732953989042309</v>
      </c>
      <c r="Q10" s="29">
        <v>0.35925218664151448</v>
      </c>
      <c r="R10" s="29">
        <v>0.16341569640086795</v>
      </c>
      <c r="S10" s="30" t="s">
        <v>63</v>
      </c>
    </row>
    <row r="11" spans="1:19" x14ac:dyDescent="0.35">
      <c r="A11" s="31" t="s">
        <v>27</v>
      </c>
      <c r="B11" s="32" t="s">
        <v>25</v>
      </c>
      <c r="C11" s="32" t="s">
        <v>15</v>
      </c>
      <c r="D11" s="33">
        <v>777455</v>
      </c>
      <c r="E11" s="33">
        <v>2005</v>
      </c>
      <c r="F11" s="33">
        <v>1829</v>
      </c>
      <c r="G11" s="34" t="s">
        <v>28</v>
      </c>
      <c r="H11" s="35">
        <v>22.35</v>
      </c>
      <c r="I11" s="35">
        <v>7.4</v>
      </c>
      <c r="J11" s="33">
        <v>369031</v>
      </c>
      <c r="K11" s="33">
        <v>324242</v>
      </c>
      <c r="L11" s="33">
        <v>84181</v>
      </c>
      <c r="M11" s="34" t="s">
        <v>23</v>
      </c>
      <c r="N11" s="36">
        <v>22595</v>
      </c>
      <c r="O11" s="37">
        <v>425.0705303444505</v>
      </c>
      <c r="P11" s="38">
        <v>0.47466541471853674</v>
      </c>
      <c r="Q11" s="38">
        <v>0.41705564952312352</v>
      </c>
      <c r="R11" s="38">
        <v>0.10827764951026105</v>
      </c>
      <c r="S11" s="39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225A1-7580-49CF-A12A-4EF73A1A10FE}">
  <dimension ref="A1:C16"/>
  <sheetViews>
    <sheetView workbookViewId="0">
      <selection activeCell="H8" sqref="H8"/>
    </sheetView>
  </sheetViews>
  <sheetFormatPr defaultRowHeight="14.5" x14ac:dyDescent="0.35"/>
  <cols>
    <col min="1" max="1" width="23.26953125" bestFit="1" customWidth="1"/>
    <col min="2" max="2" width="14.36328125" bestFit="1" customWidth="1"/>
    <col min="3" max="3" width="24.7265625" bestFit="1" customWidth="1"/>
  </cols>
  <sheetData>
    <row r="1" spans="1:3" x14ac:dyDescent="0.35">
      <c r="A1" s="1" t="s">
        <v>4</v>
      </c>
      <c r="B1" t="s" vm="1">
        <v>80</v>
      </c>
    </row>
    <row r="2" spans="1:3" x14ac:dyDescent="0.35">
      <c r="A2" s="1" t="s">
        <v>1</v>
      </c>
      <c r="B2" t="s" vm="3">
        <v>80</v>
      </c>
    </row>
    <row r="3" spans="1:3" x14ac:dyDescent="0.35">
      <c r="A3" s="1" t="s">
        <v>2</v>
      </c>
      <c r="B3" t="s" vm="2">
        <v>80</v>
      </c>
    </row>
    <row r="5" spans="1:3" x14ac:dyDescent="0.35">
      <c r="A5" s="1" t="s">
        <v>43</v>
      </c>
      <c r="B5" t="s">
        <v>81</v>
      </c>
      <c r="C5" t="s">
        <v>82</v>
      </c>
    </row>
    <row r="6" spans="1:3" x14ac:dyDescent="0.35">
      <c r="A6" s="2" t="s">
        <v>45</v>
      </c>
      <c r="B6">
        <v>963116515.09656477</v>
      </c>
      <c r="C6">
        <v>23445.369207058615</v>
      </c>
    </row>
    <row r="7" spans="1:3" x14ac:dyDescent="0.35">
      <c r="A7" s="2" t="s">
        <v>30</v>
      </c>
      <c r="B7">
        <v>1093360025.2544229</v>
      </c>
      <c r="C7">
        <v>22868.003678879155</v>
      </c>
    </row>
    <row r="8" spans="1:3" x14ac:dyDescent="0.35">
      <c r="A8" s="2" t="s">
        <v>37</v>
      </c>
      <c r="B8">
        <v>1075314936.6464913</v>
      </c>
      <c r="C8">
        <v>21854.731728624374</v>
      </c>
    </row>
    <row r="9" spans="1:3" x14ac:dyDescent="0.35">
      <c r="A9" s="2" t="s">
        <v>36</v>
      </c>
      <c r="B9">
        <v>900123646.84315372</v>
      </c>
      <c r="C9">
        <v>24161.405342674778</v>
      </c>
    </row>
    <row r="10" spans="1:3" x14ac:dyDescent="0.35">
      <c r="A10" s="2" t="s">
        <v>27</v>
      </c>
      <c r="B10">
        <v>837112205.81670403</v>
      </c>
      <c r="C10">
        <v>21279.636350623692</v>
      </c>
    </row>
    <row r="11" spans="1:3" x14ac:dyDescent="0.35">
      <c r="A11" s="2" t="s">
        <v>22</v>
      </c>
      <c r="B11">
        <v>689182623.86996579</v>
      </c>
      <c r="C11">
        <v>19950.638679332689</v>
      </c>
    </row>
    <row r="12" spans="1:3" x14ac:dyDescent="0.35">
      <c r="A12" s="2" t="s">
        <v>35</v>
      </c>
      <c r="B12">
        <v>871195519.55574977</v>
      </c>
      <c r="C12">
        <v>15955.267785279841</v>
      </c>
    </row>
    <row r="13" spans="1:3" x14ac:dyDescent="0.35">
      <c r="A13" s="2" t="s">
        <v>18</v>
      </c>
      <c r="B13">
        <v>1009658209.676994</v>
      </c>
      <c r="C13">
        <v>21152.427100599234</v>
      </c>
    </row>
    <row r="14" spans="1:3" x14ac:dyDescent="0.35">
      <c r="A14" s="2" t="s">
        <v>24</v>
      </c>
      <c r="B14">
        <v>857472381.18574595</v>
      </c>
      <c r="C14">
        <v>19875.134578360605</v>
      </c>
    </row>
    <row r="15" spans="1:3" x14ac:dyDescent="0.35">
      <c r="A15" s="2" t="s">
        <v>60</v>
      </c>
      <c r="B15">
        <v>1085251199.3160162</v>
      </c>
      <c r="C15">
        <v>24475.333611666272</v>
      </c>
    </row>
    <row r="16" spans="1:3" x14ac:dyDescent="0.35">
      <c r="A16" s="2" t="s">
        <v>42</v>
      </c>
      <c r="B16">
        <v>9381787263.2618027</v>
      </c>
      <c r="C16">
        <v>215017.94806309909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8E5D9-08CC-415A-8455-812DD1A11612}">
  <dimension ref="A3:F8"/>
  <sheetViews>
    <sheetView topLeftCell="B1" workbookViewId="0">
      <selection activeCell="B3" sqref="B3"/>
    </sheetView>
  </sheetViews>
  <sheetFormatPr defaultRowHeight="14.5" x14ac:dyDescent="0.35"/>
  <cols>
    <col min="1" max="1" width="12.453125" bestFit="1" customWidth="1"/>
    <col min="2" max="2" width="18.90625" bestFit="1" customWidth="1"/>
    <col min="3" max="3" width="21.36328125" bestFit="1" customWidth="1"/>
    <col min="4" max="4" width="23.453125" bestFit="1" customWidth="1"/>
    <col min="5" max="5" width="23.08984375" bestFit="1" customWidth="1"/>
    <col min="6" max="6" width="21.90625" bestFit="1" customWidth="1"/>
  </cols>
  <sheetData>
    <row r="3" spans="1:6" x14ac:dyDescent="0.35">
      <c r="A3" s="1" t="s">
        <v>43</v>
      </c>
      <c r="B3" t="s">
        <v>83</v>
      </c>
      <c r="C3" t="s">
        <v>58</v>
      </c>
      <c r="D3" t="s">
        <v>57</v>
      </c>
      <c r="E3" t="s">
        <v>56</v>
      </c>
      <c r="F3" t="s">
        <v>84</v>
      </c>
    </row>
    <row r="4" spans="1:6" x14ac:dyDescent="0.35">
      <c r="A4" s="2" t="s">
        <v>31</v>
      </c>
      <c r="B4" s="5">
        <v>50776455</v>
      </c>
      <c r="C4" s="5">
        <v>9189079</v>
      </c>
      <c r="D4" s="5">
        <v>22326214</v>
      </c>
      <c r="E4" s="5">
        <v>19261003</v>
      </c>
      <c r="F4" s="5">
        <v>156954</v>
      </c>
    </row>
    <row r="5" spans="1:6" x14ac:dyDescent="0.35">
      <c r="A5" s="2" t="s">
        <v>28</v>
      </c>
      <c r="B5" s="5">
        <v>68114235</v>
      </c>
      <c r="C5" s="5">
        <v>13154341</v>
      </c>
      <c r="D5" s="5">
        <v>29610457</v>
      </c>
      <c r="E5" s="5">
        <v>25349244</v>
      </c>
      <c r="F5" s="5">
        <v>184354</v>
      </c>
    </row>
    <row r="6" spans="1:6" x14ac:dyDescent="0.35">
      <c r="A6" s="2" t="s">
        <v>16</v>
      </c>
      <c r="B6" s="5">
        <v>61021431</v>
      </c>
      <c r="C6" s="5">
        <v>11558069</v>
      </c>
      <c r="D6" s="5">
        <v>27159524</v>
      </c>
      <c r="E6" s="5">
        <v>22303648</v>
      </c>
      <c r="F6" s="5">
        <v>192202</v>
      </c>
    </row>
    <row r="7" spans="1:6" x14ac:dyDescent="0.35">
      <c r="A7" s="2" t="s">
        <v>21</v>
      </c>
      <c r="B7" s="5">
        <v>55892797</v>
      </c>
      <c r="C7" s="5">
        <v>10734204</v>
      </c>
      <c r="D7" s="5">
        <v>24305953</v>
      </c>
      <c r="E7" s="5">
        <v>20852451</v>
      </c>
      <c r="F7" s="5">
        <v>181826</v>
      </c>
    </row>
    <row r="8" spans="1:6" x14ac:dyDescent="0.35">
      <c r="A8" s="2" t="s">
        <v>42</v>
      </c>
      <c r="B8" s="5">
        <v>235804918</v>
      </c>
      <c r="C8" s="5">
        <v>44635693</v>
      </c>
      <c r="D8" s="5">
        <v>103402148</v>
      </c>
      <c r="E8" s="5">
        <v>87766346</v>
      </c>
      <c r="F8" s="5">
        <v>715336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86FF7-BE4E-457F-8F7E-D2AAFD28AA85}">
  <dimension ref="A3:G53"/>
  <sheetViews>
    <sheetView workbookViewId="0">
      <selection activeCell="G3" sqref="G3"/>
    </sheetView>
  </sheetViews>
  <sheetFormatPr defaultRowHeight="14.5" x14ac:dyDescent="0.35"/>
  <cols>
    <col min="1" max="1" width="12.453125" bestFit="1" customWidth="1"/>
    <col min="2" max="2" width="25.81640625" bestFit="1" customWidth="1"/>
  </cols>
  <sheetData>
    <row r="3" spans="1:7" x14ac:dyDescent="0.35">
      <c r="A3" s="1" t="s">
        <v>43</v>
      </c>
      <c r="B3" t="s">
        <v>85</v>
      </c>
      <c r="G3">
        <v>7</v>
      </c>
    </row>
    <row r="4" spans="1:7" x14ac:dyDescent="0.35">
      <c r="A4" s="8">
        <v>1975</v>
      </c>
      <c r="B4">
        <v>7</v>
      </c>
      <c r="G4">
        <v>10</v>
      </c>
    </row>
    <row r="5" spans="1:7" x14ac:dyDescent="0.35">
      <c r="A5" s="8">
        <v>1976</v>
      </c>
      <c r="B5">
        <v>10</v>
      </c>
    </row>
    <row r="6" spans="1:7" x14ac:dyDescent="0.35">
      <c r="A6" s="8">
        <v>1977</v>
      </c>
      <c r="B6">
        <v>14</v>
      </c>
    </row>
    <row r="7" spans="1:7" x14ac:dyDescent="0.35">
      <c r="A7" s="8">
        <v>1978</v>
      </c>
      <c r="B7">
        <v>4</v>
      </c>
    </row>
    <row r="8" spans="1:7" x14ac:dyDescent="0.35">
      <c r="A8" s="8">
        <v>1979</v>
      </c>
      <c r="B8">
        <v>7</v>
      </c>
    </row>
    <row r="9" spans="1:7" x14ac:dyDescent="0.35">
      <c r="A9" s="8">
        <v>1980</v>
      </c>
      <c r="B9">
        <v>14</v>
      </c>
    </row>
    <row r="10" spans="1:7" x14ac:dyDescent="0.35">
      <c r="A10" s="8">
        <v>1981</v>
      </c>
      <c r="B10">
        <v>8</v>
      </c>
    </row>
    <row r="11" spans="1:7" x14ac:dyDescent="0.35">
      <c r="A11" s="8">
        <v>1982</v>
      </c>
      <c r="B11">
        <v>12</v>
      </c>
    </row>
    <row r="12" spans="1:7" x14ac:dyDescent="0.35">
      <c r="A12" s="8">
        <v>1983</v>
      </c>
      <c r="B12">
        <v>14</v>
      </c>
    </row>
    <row r="13" spans="1:7" x14ac:dyDescent="0.35">
      <c r="A13" s="8">
        <v>1984</v>
      </c>
      <c r="B13">
        <v>7</v>
      </c>
    </row>
    <row r="14" spans="1:7" x14ac:dyDescent="0.35">
      <c r="A14" s="8">
        <v>1985</v>
      </c>
      <c r="B14">
        <v>4</v>
      </c>
    </row>
    <row r="15" spans="1:7" x14ac:dyDescent="0.35">
      <c r="A15" s="8">
        <v>1986</v>
      </c>
      <c r="B15">
        <v>8</v>
      </c>
    </row>
    <row r="16" spans="1:7" x14ac:dyDescent="0.35">
      <c r="A16" s="8">
        <v>1987</v>
      </c>
      <c r="B16">
        <v>12</v>
      </c>
    </row>
    <row r="17" spans="1:2" x14ac:dyDescent="0.35">
      <c r="A17" s="8">
        <v>1988</v>
      </c>
      <c r="B17">
        <v>7</v>
      </c>
    </row>
    <row r="18" spans="1:2" x14ac:dyDescent="0.35">
      <c r="A18" s="8">
        <v>1989</v>
      </c>
      <c r="B18">
        <v>9</v>
      </c>
    </row>
    <row r="19" spans="1:2" x14ac:dyDescent="0.35">
      <c r="A19" s="8">
        <v>1990</v>
      </c>
      <c r="B19">
        <v>14</v>
      </c>
    </row>
    <row r="20" spans="1:2" x14ac:dyDescent="0.35">
      <c r="A20" s="8">
        <v>1991</v>
      </c>
      <c r="B20">
        <v>5</v>
      </c>
    </row>
    <row r="21" spans="1:2" x14ac:dyDescent="0.35">
      <c r="A21" s="8">
        <v>1992</v>
      </c>
      <c r="B21">
        <v>8</v>
      </c>
    </row>
    <row r="22" spans="1:2" x14ac:dyDescent="0.35">
      <c r="A22" s="8">
        <v>1993</v>
      </c>
      <c r="B22">
        <v>4</v>
      </c>
    </row>
    <row r="23" spans="1:2" x14ac:dyDescent="0.35">
      <c r="A23" s="8">
        <v>1994</v>
      </c>
      <c r="B23">
        <v>8</v>
      </c>
    </row>
    <row r="24" spans="1:2" x14ac:dyDescent="0.35">
      <c r="A24" s="8">
        <v>1995</v>
      </c>
      <c r="B24">
        <v>18</v>
      </c>
    </row>
    <row r="25" spans="1:2" x14ac:dyDescent="0.35">
      <c r="A25" s="8">
        <v>1996</v>
      </c>
      <c r="B25">
        <v>12</v>
      </c>
    </row>
    <row r="26" spans="1:2" x14ac:dyDescent="0.35">
      <c r="A26" s="8">
        <v>1997</v>
      </c>
      <c r="B26">
        <v>9</v>
      </c>
    </row>
    <row r="27" spans="1:2" x14ac:dyDescent="0.35">
      <c r="A27" s="8">
        <v>1998</v>
      </c>
      <c r="B27">
        <v>9</v>
      </c>
    </row>
    <row r="28" spans="1:2" x14ac:dyDescent="0.35">
      <c r="A28" s="8">
        <v>1999</v>
      </c>
      <c r="B28">
        <v>5</v>
      </c>
    </row>
    <row r="29" spans="1:2" x14ac:dyDescent="0.35">
      <c r="A29" s="8">
        <v>2000</v>
      </c>
      <c r="B29">
        <v>15</v>
      </c>
    </row>
    <row r="30" spans="1:2" x14ac:dyDescent="0.35">
      <c r="A30" s="8">
        <v>2001</v>
      </c>
      <c r="B30">
        <v>9</v>
      </c>
    </row>
    <row r="31" spans="1:2" x14ac:dyDescent="0.35">
      <c r="A31" s="8">
        <v>2002</v>
      </c>
      <c r="B31">
        <v>13</v>
      </c>
    </row>
    <row r="32" spans="1:2" x14ac:dyDescent="0.35">
      <c r="A32" s="8">
        <v>2003</v>
      </c>
      <c r="B32">
        <v>9</v>
      </c>
    </row>
    <row r="33" spans="1:2" x14ac:dyDescent="0.35">
      <c r="A33" s="8">
        <v>2004</v>
      </c>
      <c r="B33">
        <v>12</v>
      </c>
    </row>
    <row r="34" spans="1:2" x14ac:dyDescent="0.35">
      <c r="A34" s="8">
        <v>2005</v>
      </c>
      <c r="B34">
        <v>10</v>
      </c>
    </row>
    <row r="35" spans="1:2" x14ac:dyDescent="0.35">
      <c r="A35" s="8">
        <v>2006</v>
      </c>
      <c r="B35">
        <v>7</v>
      </c>
    </row>
    <row r="36" spans="1:2" x14ac:dyDescent="0.35">
      <c r="A36" s="8">
        <v>2007</v>
      </c>
      <c r="B36">
        <v>13</v>
      </c>
    </row>
    <row r="37" spans="1:2" x14ac:dyDescent="0.35">
      <c r="A37" s="8">
        <v>2008</v>
      </c>
      <c r="B37">
        <v>10</v>
      </c>
    </row>
    <row r="38" spans="1:2" x14ac:dyDescent="0.35">
      <c r="A38" s="8">
        <v>2009</v>
      </c>
      <c r="B38">
        <v>15</v>
      </c>
    </row>
    <row r="39" spans="1:2" x14ac:dyDescent="0.35">
      <c r="A39" s="8">
        <v>2010</v>
      </c>
      <c r="B39">
        <v>12</v>
      </c>
    </row>
    <row r="40" spans="1:2" x14ac:dyDescent="0.35">
      <c r="A40" s="8">
        <v>2011</v>
      </c>
      <c r="B40">
        <v>13</v>
      </c>
    </row>
    <row r="41" spans="1:2" x14ac:dyDescent="0.35">
      <c r="A41" s="8">
        <v>2012</v>
      </c>
      <c r="B41">
        <v>10</v>
      </c>
    </row>
    <row r="42" spans="1:2" x14ac:dyDescent="0.35">
      <c r="A42" s="8">
        <v>2013</v>
      </c>
      <c r="B42">
        <v>10</v>
      </c>
    </row>
    <row r="43" spans="1:2" x14ac:dyDescent="0.35">
      <c r="A43" s="8">
        <v>2014</v>
      </c>
      <c r="B43">
        <v>9</v>
      </c>
    </row>
    <row r="44" spans="1:2" x14ac:dyDescent="0.35">
      <c r="A44" s="8">
        <v>2015</v>
      </c>
      <c r="B44">
        <v>19</v>
      </c>
    </row>
    <row r="45" spans="1:2" x14ac:dyDescent="0.35">
      <c r="A45" s="8">
        <v>2016</v>
      </c>
      <c r="B45">
        <v>9</v>
      </c>
    </row>
    <row r="46" spans="1:2" x14ac:dyDescent="0.35">
      <c r="A46" s="8">
        <v>2017</v>
      </c>
      <c r="B46">
        <v>13</v>
      </c>
    </row>
    <row r="47" spans="1:2" x14ac:dyDescent="0.35">
      <c r="A47" s="8">
        <v>2018</v>
      </c>
      <c r="B47">
        <v>9</v>
      </c>
    </row>
    <row r="48" spans="1:2" x14ac:dyDescent="0.35">
      <c r="A48" s="8">
        <v>2019</v>
      </c>
      <c r="B48">
        <v>10</v>
      </c>
    </row>
    <row r="49" spans="1:2" x14ac:dyDescent="0.35">
      <c r="A49" s="8">
        <v>2020</v>
      </c>
      <c r="B49">
        <v>6</v>
      </c>
    </row>
    <row r="50" spans="1:2" x14ac:dyDescent="0.35">
      <c r="A50" s="8">
        <v>2021</v>
      </c>
      <c r="B50">
        <v>14</v>
      </c>
    </row>
    <row r="51" spans="1:2" x14ac:dyDescent="0.35">
      <c r="A51" s="8">
        <v>2022</v>
      </c>
      <c r="B51">
        <v>15</v>
      </c>
    </row>
    <row r="52" spans="1:2" x14ac:dyDescent="0.35">
      <c r="A52" s="8">
        <v>2023</v>
      </c>
      <c r="B52">
        <v>9</v>
      </c>
    </row>
    <row r="53" spans="1:2" x14ac:dyDescent="0.35">
      <c r="A53" s="8" t="s">
        <v>42</v>
      </c>
      <c r="B53">
        <v>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27CCF-239B-4E9E-B92A-099C465CE6C3}">
  <dimension ref="A1:H20"/>
  <sheetViews>
    <sheetView workbookViewId="0">
      <selection activeCell="I15" sqref="I15"/>
    </sheetView>
  </sheetViews>
  <sheetFormatPr defaultRowHeight="14.5" x14ac:dyDescent="0.35"/>
  <cols>
    <col min="1" max="1" width="23.26953125" bestFit="1" customWidth="1"/>
    <col min="2" max="2" width="25.81640625" bestFit="1" customWidth="1"/>
    <col min="4" max="4" width="23.26953125" bestFit="1" customWidth="1"/>
    <col min="5" max="5" width="25.81640625" bestFit="1" customWidth="1"/>
  </cols>
  <sheetData>
    <row r="1" spans="1:8" x14ac:dyDescent="0.35">
      <c r="A1" s="1" t="s">
        <v>4</v>
      </c>
      <c r="B1" s="8">
        <v>1977</v>
      </c>
    </row>
    <row r="3" spans="1:8" x14ac:dyDescent="0.35">
      <c r="A3" s="1" t="s">
        <v>43</v>
      </c>
      <c r="B3" t="s">
        <v>85</v>
      </c>
      <c r="D3" s="44" t="s">
        <v>43</v>
      </c>
      <c r="E3" s="44" t="s">
        <v>85</v>
      </c>
      <c r="G3" s="44" t="s">
        <v>43</v>
      </c>
      <c r="H3" s="44" t="s">
        <v>85</v>
      </c>
    </row>
    <row r="4" spans="1:8" x14ac:dyDescent="0.35">
      <c r="A4" s="2" t="s">
        <v>45</v>
      </c>
      <c r="B4">
        <v>1</v>
      </c>
      <c r="D4" s="2" t="s">
        <v>37</v>
      </c>
      <c r="E4">
        <v>1</v>
      </c>
      <c r="G4" s="2" t="s">
        <v>37</v>
      </c>
      <c r="H4">
        <v>1</v>
      </c>
    </row>
    <row r="5" spans="1:8" x14ac:dyDescent="0.35">
      <c r="A5" s="2" t="s">
        <v>30</v>
      </c>
      <c r="B5">
        <v>1</v>
      </c>
      <c r="D5" s="2" t="s">
        <v>36</v>
      </c>
      <c r="E5">
        <v>1</v>
      </c>
      <c r="G5" s="2" t="s">
        <v>36</v>
      </c>
      <c r="H5">
        <v>1</v>
      </c>
    </row>
    <row r="6" spans="1:8" x14ac:dyDescent="0.35">
      <c r="A6" s="2" t="s">
        <v>37</v>
      </c>
      <c r="B6">
        <v>2</v>
      </c>
      <c r="D6" s="2" t="s">
        <v>27</v>
      </c>
      <c r="E6">
        <v>1</v>
      </c>
      <c r="G6" s="2" t="s">
        <v>27</v>
      </c>
      <c r="H6">
        <v>1</v>
      </c>
    </row>
    <row r="7" spans="1:8" x14ac:dyDescent="0.35">
      <c r="A7" s="2" t="s">
        <v>36</v>
      </c>
      <c r="B7">
        <v>1</v>
      </c>
      <c r="D7" s="2" t="s">
        <v>22</v>
      </c>
      <c r="E7">
        <v>2</v>
      </c>
      <c r="G7" s="2" t="s">
        <v>22</v>
      </c>
      <c r="H7">
        <v>2</v>
      </c>
    </row>
    <row r="8" spans="1:8" x14ac:dyDescent="0.35">
      <c r="A8" s="2" t="s">
        <v>27</v>
      </c>
      <c r="B8">
        <v>4</v>
      </c>
      <c r="D8" s="2" t="s">
        <v>18</v>
      </c>
      <c r="E8">
        <v>1</v>
      </c>
      <c r="G8" s="2" t="s">
        <v>18</v>
      </c>
      <c r="H8">
        <v>1</v>
      </c>
    </row>
    <row r="9" spans="1:8" x14ac:dyDescent="0.35">
      <c r="A9" s="2" t="s">
        <v>18</v>
      </c>
      <c r="B9">
        <v>1</v>
      </c>
      <c r="D9" s="2" t="s">
        <v>60</v>
      </c>
      <c r="E9">
        <v>1</v>
      </c>
      <c r="G9" s="2" t="s">
        <v>60</v>
      </c>
      <c r="H9">
        <v>1</v>
      </c>
    </row>
    <row r="10" spans="1:8" x14ac:dyDescent="0.35">
      <c r="A10" s="2" t="s">
        <v>24</v>
      </c>
      <c r="B10">
        <v>1</v>
      </c>
      <c r="D10" s="45" t="s">
        <v>42</v>
      </c>
      <c r="E10" s="46">
        <v>7</v>
      </c>
      <c r="G10" s="45" t="s">
        <v>42</v>
      </c>
      <c r="H10" s="46">
        <v>7</v>
      </c>
    </row>
    <row r="11" spans="1:8" x14ac:dyDescent="0.35">
      <c r="A11" s="2" t="s">
        <v>60</v>
      </c>
      <c r="B11">
        <v>3</v>
      </c>
    </row>
    <row r="12" spans="1:8" x14ac:dyDescent="0.35">
      <c r="A12" s="2" t="s">
        <v>42</v>
      </c>
      <c r="B12">
        <v>14</v>
      </c>
    </row>
    <row r="13" spans="1:8" x14ac:dyDescent="0.35">
      <c r="D13" s="44" t="s">
        <v>43</v>
      </c>
      <c r="E13" s="44" t="s">
        <v>85</v>
      </c>
    </row>
    <row r="14" spans="1:8" x14ac:dyDescent="0.35">
      <c r="D14" s="2" t="s">
        <v>37</v>
      </c>
      <c r="E14">
        <v>1</v>
      </c>
    </row>
    <row r="15" spans="1:8" x14ac:dyDescent="0.35">
      <c r="D15" s="2" t="s">
        <v>36</v>
      </c>
      <c r="E15">
        <v>1</v>
      </c>
    </row>
    <row r="16" spans="1:8" x14ac:dyDescent="0.35">
      <c r="D16" s="2" t="s">
        <v>27</v>
      </c>
      <c r="E16">
        <v>1</v>
      </c>
    </row>
    <row r="17" spans="4:5" x14ac:dyDescent="0.35">
      <c r="D17" s="2" t="s">
        <v>22</v>
      </c>
      <c r="E17">
        <v>2</v>
      </c>
    </row>
    <row r="18" spans="4:5" x14ac:dyDescent="0.35">
      <c r="D18" s="2" t="s">
        <v>18</v>
      </c>
      <c r="E18">
        <v>1</v>
      </c>
    </row>
    <row r="19" spans="4:5" x14ac:dyDescent="0.35">
      <c r="D19" s="2" t="s">
        <v>60</v>
      </c>
      <c r="E19">
        <v>1</v>
      </c>
    </row>
    <row r="20" spans="4:5" x14ac:dyDescent="0.35">
      <c r="D20" s="45" t="s">
        <v>42</v>
      </c>
      <c r="E20" s="46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A65C-F8E0-4C61-93A9-5EF62DCA9622}">
  <dimension ref="A1:C6"/>
  <sheetViews>
    <sheetView workbookViewId="0">
      <selection activeCell="G11" sqref="G11"/>
    </sheetView>
  </sheetViews>
  <sheetFormatPr defaultRowHeight="14.5" x14ac:dyDescent="0.35"/>
  <cols>
    <col min="1" max="1" width="16.36328125" bestFit="1" customWidth="1"/>
    <col min="2" max="2" width="18.7265625" customWidth="1"/>
    <col min="3" max="3" width="10.7265625" bestFit="1" customWidth="1"/>
  </cols>
  <sheetData>
    <row r="1" spans="1:3" x14ac:dyDescent="0.35">
      <c r="A1" t="s">
        <v>70</v>
      </c>
      <c r="B1" t="s">
        <v>69</v>
      </c>
      <c r="C1" t="s">
        <v>77</v>
      </c>
    </row>
    <row r="2" spans="1:3" x14ac:dyDescent="0.35">
      <c r="A2" t="s">
        <v>17</v>
      </c>
      <c r="B2" t="s">
        <v>72</v>
      </c>
      <c r="C2" s="6">
        <v>16374.69306930693</v>
      </c>
    </row>
    <row r="3" spans="1:3" x14ac:dyDescent="0.35">
      <c r="A3" t="s">
        <v>23</v>
      </c>
      <c r="B3" t="s">
        <v>73</v>
      </c>
      <c r="C3" s="6">
        <v>16709.471698113208</v>
      </c>
    </row>
    <row r="4" spans="1:3" x14ac:dyDescent="0.35">
      <c r="A4" t="s">
        <v>71</v>
      </c>
      <c r="B4" t="s">
        <v>74</v>
      </c>
      <c r="C4" s="6">
        <v>16705.39</v>
      </c>
    </row>
    <row r="5" spans="1:3" x14ac:dyDescent="0.35">
      <c r="A5" t="s">
        <v>34</v>
      </c>
      <c r="B5" t="s">
        <v>75</v>
      </c>
      <c r="C5" s="6">
        <v>16679.698113207549</v>
      </c>
    </row>
    <row r="6" spans="1:3" x14ac:dyDescent="0.35">
      <c r="A6" t="s">
        <v>38</v>
      </c>
      <c r="B6" t="s">
        <v>76</v>
      </c>
      <c r="C6" s="6">
        <v>16720.724137931036</v>
      </c>
    </row>
  </sheetData>
  <dataConsolidate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AA467E7C-6452-48C2-8747-37A4AC4871EC}">
  <ds:schemaRefs/>
</ds:datastoreItem>
</file>

<file path=customXml/itemProps2.xml><?xml version="1.0" encoding="utf-8"?>
<ds:datastoreItem xmlns:ds="http://schemas.openxmlformats.org/officeDocument/2006/customXml" ds:itemID="{96AD237A-485C-443C-87E4-BEC0F009ACCA}">
  <ds:schemaRefs/>
</ds:datastoreItem>
</file>

<file path=customXml/itemProps3.xml><?xml version="1.0" encoding="utf-8"?>
<ds:datastoreItem xmlns:ds="http://schemas.openxmlformats.org/officeDocument/2006/customXml" ds:itemID="{F90FB7F4-BE6E-40AE-9F36-4A9D48B56433}">
  <ds:schemaRefs/>
</ds:datastoreItem>
</file>

<file path=customXml/itemProps4.xml><?xml version="1.0" encoding="utf-8"?>
<ds:datastoreItem xmlns:ds="http://schemas.openxmlformats.org/officeDocument/2006/customXml" ds:itemID="{8D146BD1-C9F0-4270-A6DC-F8545CBD1377}">
  <ds:schemaRefs/>
</ds:datastoreItem>
</file>

<file path=customXml/itemProps5.xml><?xml version="1.0" encoding="utf-8"?>
<ds:datastoreItem xmlns:ds="http://schemas.openxmlformats.org/officeDocument/2006/customXml" ds:itemID="{FA656778-CD55-4C68-8FC5-0C9CC15671AB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6F18B3E5-BA6A-4ECC-BA57-4CBF14C64692}">
  <ds:schemaRefs/>
</ds:datastoreItem>
</file>

<file path=customXml/itemProps7.xml><?xml version="1.0" encoding="utf-8"?>
<ds:datastoreItem xmlns:ds="http://schemas.openxmlformats.org/officeDocument/2006/customXml" ds:itemID="{6B4B02F5-7355-40DF-954D-310C8EAE3EAB}">
  <ds:schemaRefs/>
</ds:datastoreItem>
</file>

<file path=customXml/itemProps8.xml><?xml version="1.0" encoding="utf-8"?>
<ds:datastoreItem xmlns:ds="http://schemas.openxmlformats.org/officeDocument/2006/customXml" ds:itemID="{D782F64C-1122-4432-81DF-536B90125784}">
  <ds:schemaRefs/>
</ds:datastoreItem>
</file>

<file path=customXml/itemProps9.xml><?xml version="1.0" encoding="utf-8"?>
<ds:datastoreItem xmlns:ds="http://schemas.openxmlformats.org/officeDocument/2006/customXml" ds:itemID="{D40E3773-2964-4336-B896-9390386AF92C}">
  <ds:schemaRefs/>
</ds:datastoreItem>
</file>

<file path=customXml/itemProps10.xml><?xml version="1.0" encoding="utf-8"?>
<ds:datastoreItem xmlns:ds="http://schemas.openxmlformats.org/officeDocument/2006/customXml" ds:itemID="{19889925-0FD0-4EC9-A258-5C83A4AA8C89}">
  <ds:schemaRefs/>
</ds:datastoreItem>
</file>

<file path=customXml/itemProps11.xml><?xml version="1.0" encoding="utf-8"?>
<ds:datastoreItem xmlns:ds="http://schemas.openxmlformats.org/officeDocument/2006/customXml" ds:itemID="{04FCEF9C-5933-4F52-8843-0CF1DF59104F}">
  <ds:schemaRefs/>
</ds:datastoreItem>
</file>

<file path=customXml/itemProps12.xml><?xml version="1.0" encoding="utf-8"?>
<ds:datastoreItem xmlns:ds="http://schemas.openxmlformats.org/officeDocument/2006/customXml" ds:itemID="{D36F01AD-35C7-44BF-9D76-5FF96F8B71E6}">
  <ds:schemaRefs/>
</ds:datastoreItem>
</file>

<file path=customXml/itemProps13.xml><?xml version="1.0" encoding="utf-8"?>
<ds:datastoreItem xmlns:ds="http://schemas.openxmlformats.org/officeDocument/2006/customXml" ds:itemID="{C7F035DA-25F8-4878-A4B7-746F27B160C9}">
  <ds:schemaRefs/>
</ds:datastoreItem>
</file>

<file path=customXml/itemProps14.xml><?xml version="1.0" encoding="utf-8"?>
<ds:datastoreItem xmlns:ds="http://schemas.openxmlformats.org/officeDocument/2006/customXml" ds:itemID="{CDC4C2FA-29BA-476E-8F7F-46B989F8EEA6}">
  <ds:schemaRefs/>
</ds:datastoreItem>
</file>

<file path=customXml/itemProps15.xml><?xml version="1.0" encoding="utf-8"?>
<ds:datastoreItem xmlns:ds="http://schemas.openxmlformats.org/officeDocument/2006/customXml" ds:itemID="{F7454766-B3CA-4866-A74B-A5CA71FDCC45}">
  <ds:schemaRefs/>
</ds:datastoreItem>
</file>

<file path=customXml/itemProps16.xml><?xml version="1.0" encoding="utf-8"?>
<ds:datastoreItem xmlns:ds="http://schemas.openxmlformats.org/officeDocument/2006/customXml" ds:itemID="{06380D05-FCB2-42A9-978A-228397FF81A6}">
  <ds:schemaRefs/>
</ds:datastoreItem>
</file>

<file path=customXml/itemProps17.xml><?xml version="1.0" encoding="utf-8"?>
<ds:datastoreItem xmlns:ds="http://schemas.openxmlformats.org/officeDocument/2006/customXml" ds:itemID="{E9D3BEA5-6AF2-4B48-853F-DA39F10066D0}">
  <ds:schemaRefs/>
</ds:datastoreItem>
</file>

<file path=customXml/itemProps18.xml><?xml version="1.0" encoding="utf-8"?>
<ds:datastoreItem xmlns:ds="http://schemas.openxmlformats.org/officeDocument/2006/customXml" ds:itemID="{413F645B-FD2B-4B9E-A5A5-74164218C9FC}">
  <ds:schemaRefs/>
</ds:datastoreItem>
</file>

<file path=customXml/itemProps19.xml><?xml version="1.0" encoding="utf-8"?>
<ds:datastoreItem xmlns:ds="http://schemas.openxmlformats.org/officeDocument/2006/customXml" ds:itemID="{E5A9CDDE-DA2B-4FDA-A482-9A746B27305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Mini Project (UAE Refinaries)</vt:lpstr>
      <vt:lpstr>Price of Each Year</vt:lpstr>
      <vt:lpstr>Yield per year</vt:lpstr>
      <vt:lpstr>Top 10 Refinaries</vt:lpstr>
      <vt:lpstr>Year_Emirate_Oerator_Revenue_Pr</vt:lpstr>
      <vt:lpstr>Sheet1</vt:lpstr>
      <vt:lpstr>Sheet2</vt:lpstr>
      <vt:lpstr>Sheet3</vt:lpstr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Muthu rakkappan</cp:lastModifiedBy>
  <dcterms:created xsi:type="dcterms:W3CDTF">2025-11-05T06:51:31Z</dcterms:created>
  <dcterms:modified xsi:type="dcterms:W3CDTF">2025-11-13T13:35:05Z</dcterms:modified>
</cp:coreProperties>
</file>